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benson/Desktop/扶輪社/運動賽事/保齡球/2026-27地區保齡球賽/"/>
    </mc:Choice>
  </mc:AlternateContent>
  <xr:revisionPtr revIDLastSave="0" documentId="8_{C442E6A9-F945-3B47-949E-AC34B01F710A}" xr6:coauthVersionLast="47" xr6:coauthVersionMax="47" xr10:uidLastSave="{00000000-0000-0000-0000-000000000000}"/>
  <bookViews>
    <workbookView xWindow="0" yWindow="760" windowWidth="38400" windowHeight="20840" xr2:uid="{E65FA3A1-2622-FE4C-A489-0DB543390D13}"/>
  </bookViews>
  <sheets>
    <sheet name="統計K" sheetId="10" r:id="rId1"/>
    <sheet name="執掌 (2)" sheetId="23" r:id="rId2"/>
    <sheet name="執掌" sheetId="7" r:id="rId3"/>
    <sheet name="0712" sheetId="11" r:id="rId4"/>
    <sheet name="0807" sheetId="12" r:id="rId5"/>
    <sheet name="計分員1" sheetId="13" r:id="rId6"/>
    <sheet name="計分員2" sheetId="14" r:id="rId7"/>
    <sheet name="計分員3" sheetId="15" r:id="rId8"/>
    <sheet name="計分員4" sheetId="16" r:id="rId9"/>
    <sheet name="計分員5" sheetId="17" r:id="rId10"/>
    <sheet name="計分員6" sheetId="18" r:id="rId11"/>
    <sheet name="計分員7" sheetId="19" r:id="rId12"/>
    <sheet name="計分員8" sheetId="20" r:id="rId13"/>
    <sheet name="計分員9" sheetId="21" r:id="rId14"/>
    <sheet name="計分員10)" sheetId="22" r:id="rId15"/>
  </sheets>
  <definedNames>
    <definedName name="_xlnm._FilterDatabase" localSheetId="5" hidden="1">計分員1!$A$2:$P$18</definedName>
    <definedName name="_xlnm._FilterDatabase" localSheetId="14" hidden="1">'計分員10)'!$A$2:$P$17</definedName>
    <definedName name="_xlnm._FilterDatabase" localSheetId="6" hidden="1">計分員2!$A$2:$P$18</definedName>
    <definedName name="_xlnm._FilterDatabase" localSheetId="7" hidden="1">計分員3!$A$2:$P$18</definedName>
    <definedName name="_xlnm._FilterDatabase" localSheetId="8" hidden="1">計分員4!$A$2:$P$18</definedName>
    <definedName name="_xlnm._FilterDatabase" localSheetId="9" hidden="1">計分員5!$A$2:$P$18</definedName>
    <definedName name="_xlnm._FilterDatabase" localSheetId="10" hidden="1">計分員6!$A$2:$P$18</definedName>
    <definedName name="_xlnm._FilterDatabase" localSheetId="11" hidden="1">計分員7!$A$2:$P$18</definedName>
    <definedName name="_xlnm._FilterDatabase" localSheetId="12" hidden="1">計分員8!$A$2:$P$18</definedName>
    <definedName name="_xlnm._FilterDatabase" localSheetId="13" hidden="1">計分員9!$A$2:$P$18</definedName>
    <definedName name="_xlnm._FilterDatabase" localSheetId="0" hidden="1">統計K!$A$2:$P$162</definedName>
  </definedNames>
  <calcPr calcId="191029" iterate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46" i="10" l="1"/>
  <c r="M70" i="10"/>
  <c r="M54" i="10"/>
  <c r="M62" i="10"/>
  <c r="M17" i="22"/>
  <c r="M16" i="22"/>
  <c r="M15" i="22"/>
  <c r="M13" i="22"/>
  <c r="M12" i="22"/>
  <c r="M11" i="22"/>
  <c r="M9" i="22"/>
  <c r="M8" i="22"/>
  <c r="M7" i="22"/>
  <c r="M6" i="22"/>
  <c r="M5" i="22"/>
  <c r="M4" i="22"/>
  <c r="M3" i="22"/>
  <c r="M18" i="21"/>
  <c r="M17" i="21"/>
  <c r="M16" i="21"/>
  <c r="M15" i="21"/>
  <c r="M14" i="21"/>
  <c r="M13" i="21"/>
  <c r="M12" i="21"/>
  <c r="M11" i="21"/>
  <c r="M10" i="21"/>
  <c r="M9" i="21"/>
  <c r="M8" i="21"/>
  <c r="M7" i="21"/>
  <c r="M6" i="21"/>
  <c r="M5" i="21"/>
  <c r="M4" i="21"/>
  <c r="M3" i="21"/>
  <c r="M18" i="17"/>
  <c r="M17" i="17"/>
  <c r="M16" i="17"/>
  <c r="M15" i="17"/>
  <c r="M14" i="17"/>
  <c r="M13" i="17"/>
  <c r="M11" i="17"/>
  <c r="M10" i="17"/>
  <c r="M9" i="17"/>
  <c r="M8" i="17"/>
  <c r="M7" i="17"/>
  <c r="M5" i="17"/>
  <c r="M4" i="17"/>
  <c r="M3" i="17"/>
  <c r="M78" i="10"/>
  <c r="M150" i="10"/>
  <c r="M134" i="10"/>
  <c r="M142" i="10"/>
  <c r="M161" i="10"/>
  <c r="M160" i="10"/>
  <c r="L2" i="12"/>
  <c r="L5" i="12"/>
  <c r="I2" i="11"/>
  <c r="I5" i="11"/>
  <c r="M48" i="10" l="1"/>
  <c r="M45" i="10"/>
  <c r="M49" i="10" l="1"/>
  <c r="M47" i="10"/>
  <c r="M44" i="10"/>
  <c r="M43" i="10"/>
  <c r="M42" i="10"/>
  <c r="M41" i="10"/>
  <c r="M40" i="10"/>
  <c r="M39" i="10"/>
  <c r="M37" i="10"/>
  <c r="M36" i="10"/>
  <c r="M35" i="10"/>
  <c r="M34" i="10"/>
  <c r="M33" i="10"/>
  <c r="M32" i="10"/>
  <c r="M31" i="10"/>
  <c r="M29" i="10"/>
  <c r="M28" i="10"/>
  <c r="M27" i="10"/>
  <c r="M26" i="10"/>
  <c r="M25" i="10"/>
  <c r="M24" i="10"/>
  <c r="M23" i="10"/>
  <c r="M21" i="10"/>
  <c r="M20" i="10"/>
  <c r="M19" i="10"/>
  <c r="M18" i="10"/>
  <c r="M17" i="10"/>
  <c r="M16" i="10"/>
  <c r="M15" i="10"/>
  <c r="M13" i="10"/>
  <c r="M12" i="10"/>
  <c r="M11" i="10"/>
  <c r="M10" i="10"/>
  <c r="M9" i="10"/>
  <c r="M8" i="10"/>
  <c r="M7" i="10"/>
  <c r="M5" i="10"/>
  <c r="M4" i="10"/>
  <c r="M3" i="10"/>
  <c r="M107" i="10"/>
  <c r="M106" i="10"/>
  <c r="M105" i="10"/>
  <c r="M104" i="10"/>
  <c r="M103" i="10"/>
  <c r="M101" i="10"/>
  <c r="M100" i="10"/>
  <c r="M99" i="10"/>
  <c r="M98" i="10"/>
  <c r="M97" i="10"/>
  <c r="M96" i="10"/>
  <c r="M95" i="10"/>
  <c r="M93" i="10"/>
  <c r="M92" i="10"/>
  <c r="M91" i="10"/>
  <c r="M90" i="10"/>
  <c r="M141" i="10"/>
  <c r="M140" i="10"/>
  <c r="M139" i="10"/>
  <c r="M138" i="10"/>
  <c r="M137" i="10"/>
  <c r="M75" i="10"/>
  <c r="M74" i="10"/>
  <c r="M73" i="10"/>
  <c r="M72" i="10"/>
  <c r="M71" i="10"/>
  <c r="M89" i="10"/>
  <c r="M88" i="10"/>
  <c r="M87" i="10"/>
  <c r="M85" i="10"/>
  <c r="M84" i="10"/>
  <c r="M83" i="10"/>
  <c r="M82" i="10"/>
  <c r="M81" i="10"/>
  <c r="M80" i="10"/>
  <c r="M79" i="10"/>
  <c r="M77" i="10"/>
  <c r="M145" i="10"/>
  <c r="M144" i="10"/>
  <c r="M143" i="10"/>
  <c r="M136" i="10"/>
  <c r="M135" i="10"/>
  <c r="M133" i="10"/>
  <c r="M132" i="10"/>
  <c r="M131" i="10"/>
  <c r="M130" i="10"/>
  <c r="M129" i="10"/>
  <c r="M128" i="10"/>
  <c r="M127" i="10"/>
  <c r="M125" i="10"/>
  <c r="M124" i="10"/>
  <c r="M123" i="10"/>
  <c r="M122" i="10"/>
  <c r="M121" i="10"/>
  <c r="M120" i="10"/>
  <c r="M119" i="10"/>
  <c r="M117" i="10"/>
  <c r="M116" i="10"/>
  <c r="M115" i="10"/>
  <c r="M114" i="10"/>
  <c r="M113" i="10"/>
  <c r="M112" i="10"/>
  <c r="M111" i="10"/>
  <c r="M109" i="10"/>
  <c r="M108" i="10"/>
  <c r="M69" i="10"/>
  <c r="M68" i="10"/>
  <c r="M67" i="10"/>
  <c r="M66" i="10"/>
  <c r="M65" i="10"/>
  <c r="M64" i="10"/>
  <c r="M63" i="10"/>
  <c r="M61" i="10"/>
  <c r="M60" i="10"/>
  <c r="M59" i="10"/>
  <c r="M58" i="10"/>
  <c r="M57" i="10"/>
  <c r="M56" i="10"/>
  <c r="M55" i="10"/>
  <c r="M53" i="10"/>
  <c r="M52" i="10"/>
  <c r="M51" i="10"/>
  <c r="M50" i="10"/>
  <c r="M159" i="10"/>
  <c r="M157" i="10"/>
  <c r="M156" i="10"/>
  <c r="M155" i="10"/>
  <c r="M153" i="10"/>
  <c r="M152" i="10"/>
  <c r="M151" i="10"/>
  <c r="M149" i="10"/>
  <c r="M148" i="10"/>
  <c r="M147" i="10"/>
  <c r="M146" i="10"/>
</calcChain>
</file>

<file path=xl/sharedStrings.xml><?xml version="1.0" encoding="utf-8"?>
<sst xmlns="http://schemas.openxmlformats.org/spreadsheetml/2006/main" count="2204" uniqueCount="462">
  <si>
    <t>球道</t>
    <phoneticPr fontId="1" type="noConversion"/>
  </si>
  <si>
    <t>姓名</t>
    <phoneticPr fontId="1" type="noConversion"/>
  </si>
  <si>
    <t>第一局</t>
    <phoneticPr fontId="1" type="noConversion"/>
  </si>
  <si>
    <t>第二局</t>
    <phoneticPr fontId="1" type="noConversion"/>
  </si>
  <si>
    <t>第三局</t>
    <phoneticPr fontId="1" type="noConversion"/>
  </si>
  <si>
    <t>加分</t>
    <phoneticPr fontId="1" type="noConversion"/>
  </si>
  <si>
    <t>總分</t>
    <phoneticPr fontId="1" type="noConversion"/>
  </si>
  <si>
    <t>團體總分</t>
    <phoneticPr fontId="1" type="noConversion"/>
  </si>
  <si>
    <t>許美妙</t>
  </si>
  <si>
    <t>葉宥汝</t>
  </si>
  <si>
    <t>Steve</t>
  </si>
  <si>
    <t>陳玉瓊</t>
  </si>
  <si>
    <t>Joanna</t>
  </si>
  <si>
    <t>陳豐克</t>
  </si>
  <si>
    <t>Frank</t>
  </si>
  <si>
    <t>雷淑娟</t>
  </si>
  <si>
    <t>江貞貞</t>
  </si>
  <si>
    <t>Jane</t>
  </si>
  <si>
    <t>宋純慧</t>
  </si>
  <si>
    <t>Jewelry</t>
  </si>
  <si>
    <t>陳柏安</t>
  </si>
  <si>
    <t>鄭玉章</t>
  </si>
  <si>
    <t>Sam</t>
  </si>
  <si>
    <t>王婷鈺</t>
  </si>
  <si>
    <t>王柔諭</t>
  </si>
  <si>
    <t>范樓達</t>
  </si>
  <si>
    <t>呂卿楓</t>
  </si>
  <si>
    <t>范如瑩</t>
  </si>
  <si>
    <t>黃明偉</t>
  </si>
  <si>
    <t>林燕</t>
  </si>
  <si>
    <t>黃昭浪</t>
  </si>
  <si>
    <t>Calvin</t>
  </si>
  <si>
    <t>Eddie</t>
  </si>
  <si>
    <t>洪宗賢</t>
  </si>
  <si>
    <t>James</t>
  </si>
  <si>
    <t>何宜瑾</t>
  </si>
  <si>
    <t>Joey</t>
  </si>
  <si>
    <t>黎明珍</t>
  </si>
  <si>
    <t>Sophia</t>
  </si>
  <si>
    <t>陶心綿</t>
  </si>
  <si>
    <t>Sonia</t>
  </si>
  <si>
    <t>Jason</t>
  </si>
  <si>
    <t>郭瑞忠</t>
  </si>
  <si>
    <t>Amanda</t>
  </si>
  <si>
    <t>王慶文</t>
  </si>
  <si>
    <t>李長峰</t>
  </si>
  <si>
    <t>Aries</t>
  </si>
  <si>
    <t>Jeff</t>
  </si>
  <si>
    <t>Ken</t>
  </si>
  <si>
    <t>張正柏</t>
  </si>
  <si>
    <t>Kevin</t>
  </si>
  <si>
    <t>王宗綸</t>
  </si>
  <si>
    <t>Rain</t>
  </si>
  <si>
    <t>洪敏智</t>
  </si>
  <si>
    <t>Eric</t>
  </si>
  <si>
    <t>王孟凱</t>
  </si>
  <si>
    <t>Mio</t>
  </si>
  <si>
    <t>張峻維</t>
  </si>
  <si>
    <t>陳菀蘋</t>
  </si>
  <si>
    <t>董瑞瑾</t>
  </si>
  <si>
    <t>Grace</t>
  </si>
  <si>
    <t>倪韶謚</t>
  </si>
  <si>
    <t>翁國霖</t>
  </si>
  <si>
    <t>Concrete</t>
  </si>
  <si>
    <t>周宜國</t>
  </si>
  <si>
    <t>張志榮</t>
  </si>
  <si>
    <t>Anthony</t>
  </si>
  <si>
    <t>黃建源</t>
  </si>
  <si>
    <t>Bank</t>
  </si>
  <si>
    <t>蔣復興</t>
  </si>
  <si>
    <t>林慶忠</t>
  </si>
  <si>
    <t>Jordan</t>
  </si>
  <si>
    <t>黃國峰</t>
  </si>
  <si>
    <t>Sipher</t>
  </si>
  <si>
    <t>陳淑琳</t>
  </si>
  <si>
    <t>林書磊</t>
  </si>
  <si>
    <t>Stone</t>
  </si>
  <si>
    <t>李世森</t>
  </si>
  <si>
    <t>林楷民</t>
  </si>
  <si>
    <t>劉偉慶</t>
  </si>
  <si>
    <t>David</t>
  </si>
  <si>
    <t>王彥琳</t>
  </si>
  <si>
    <t>張智鴻</t>
  </si>
  <si>
    <t>Joseph</t>
  </si>
  <si>
    <t>Peter Wang</t>
  </si>
  <si>
    <t>王昱霖</t>
  </si>
  <si>
    <t>王昱樺</t>
  </si>
  <si>
    <t>于祐甯</t>
  </si>
  <si>
    <t>社名</t>
    <phoneticPr fontId="1" type="noConversion"/>
  </si>
  <si>
    <t>男子組</t>
    <phoneticPr fontId="1" type="noConversion"/>
  </si>
  <si>
    <t>組別</t>
    <phoneticPr fontId="1" type="noConversion"/>
  </si>
  <si>
    <t>計分員</t>
    <phoneticPr fontId="1" type="noConversion"/>
  </si>
  <si>
    <t>：</t>
    <phoneticPr fontId="1" type="noConversion"/>
  </si>
  <si>
    <t>1.核對選手姓名、身份</t>
    <phoneticPr fontId="1" type="noConversion"/>
  </si>
  <si>
    <t>女子組</t>
    <phoneticPr fontId="1" type="noConversion"/>
  </si>
  <si>
    <t>6.協助故障排除  (A.請球員暫停打球。B.按故障鈕等待球場人員處理)</t>
    <phoneticPr fontId="1" type="noConversion"/>
  </si>
  <si>
    <t xml:space="preserve">   B.選手更換需確認組別</t>
    <phoneticPr fontId="1" type="noConversion"/>
  </si>
  <si>
    <r>
      <t xml:space="preserve">   A.</t>
    </r>
    <r>
      <rPr>
        <sz val="12"/>
        <color rgb="FFFF0000"/>
        <rFont val="新細明體 (本文)"/>
        <family val="3"/>
        <charset val="136"/>
      </rPr>
      <t>比賽開始前</t>
    </r>
    <r>
      <rPr>
        <sz val="12"/>
        <color theme="1"/>
        <rFont val="新細明體"/>
        <family val="2"/>
        <charset val="136"/>
        <scheme val="minor"/>
      </rPr>
      <t>經</t>
    </r>
    <r>
      <rPr>
        <sz val="12"/>
        <color theme="8" tint="-0.249977111117893"/>
        <rFont val="新細明體 (本文)"/>
        <family val="3"/>
        <charset val="136"/>
      </rPr>
      <t>裁判長同意</t>
    </r>
    <r>
      <rPr>
        <sz val="12"/>
        <color theme="1"/>
        <rFont val="新細明體"/>
        <family val="2"/>
        <charset val="136"/>
        <scheme val="minor"/>
      </rPr>
      <t>後才可更換</t>
    </r>
    <phoneticPr fontId="1" type="noConversion"/>
  </si>
  <si>
    <r>
      <t>2.</t>
    </r>
    <r>
      <rPr>
        <sz val="12"/>
        <color rgb="FF0070C0"/>
        <rFont val="新細明體 (本文)"/>
        <family val="3"/>
        <charset val="136"/>
      </rPr>
      <t>拍照</t>
    </r>
    <r>
      <rPr>
        <sz val="12"/>
        <color theme="1"/>
        <rFont val="新細明體"/>
        <family val="2"/>
        <charset val="136"/>
        <scheme val="minor"/>
      </rPr>
      <t xml:space="preserve">每局分數(上方螢幕＋球道號碼) </t>
    </r>
    <r>
      <rPr>
        <sz val="12"/>
        <color rgb="FFFF0000"/>
        <rFont val="新細明體 (本文)"/>
        <family val="3"/>
        <charset val="136"/>
      </rPr>
      <t>暫不傳群組</t>
    </r>
    <phoneticPr fontId="1" type="noConversion"/>
  </si>
  <si>
    <r>
      <t>5.</t>
    </r>
    <r>
      <rPr>
        <sz val="12"/>
        <color rgb="FF0070C0"/>
        <rFont val="新細明體 (本文)"/>
        <family val="3"/>
        <charset val="136"/>
      </rPr>
      <t>拍照</t>
    </r>
    <r>
      <rPr>
        <sz val="12"/>
        <color theme="1"/>
        <rFont val="新細明體"/>
        <family val="2"/>
        <charset val="136"/>
        <scheme val="minor"/>
      </rPr>
      <t xml:space="preserve">紀錄火雞獎、霸王花獎(拍人＋球瓶) </t>
    </r>
    <r>
      <rPr>
        <sz val="12"/>
        <color rgb="FFFF0000"/>
        <rFont val="新細明體 (本文)"/>
        <family val="3"/>
        <charset val="136"/>
      </rPr>
      <t>照片傳群組</t>
    </r>
    <phoneticPr fontId="1" type="noConversion"/>
  </si>
  <si>
    <t>7.提醒打球進度落後的球道，縮短球員交換時間</t>
    <phoneticPr fontId="1" type="noConversion"/>
  </si>
  <si>
    <r>
      <t>1.</t>
    </r>
    <r>
      <rPr>
        <sz val="12"/>
        <color rgb="FF0070C0"/>
        <rFont val="新細明體 (本文)"/>
        <family val="3"/>
        <charset val="136"/>
      </rPr>
      <t>輸入</t>
    </r>
    <r>
      <rPr>
        <sz val="12"/>
        <color theme="1"/>
        <rFont val="新細明體"/>
        <family val="2"/>
        <charset val="136"/>
        <scheme val="minor"/>
      </rPr>
      <t>每局分數 (計分員提供)、加總分數</t>
    </r>
    <phoneticPr fontId="1" type="noConversion"/>
  </si>
  <si>
    <r>
      <t>2.</t>
    </r>
    <r>
      <rPr>
        <sz val="12"/>
        <color rgb="FF0070C0"/>
        <rFont val="新細明體 (本文)"/>
        <family val="3"/>
        <charset val="136"/>
      </rPr>
      <t>統計</t>
    </r>
    <r>
      <rPr>
        <sz val="12"/>
        <color theme="1"/>
        <rFont val="新細明體"/>
        <family val="2"/>
        <charset val="136"/>
        <scheme val="minor"/>
      </rPr>
      <t>火雞獎、霸王花獎、各組名次</t>
    </r>
    <phoneticPr fontId="1" type="noConversion"/>
  </si>
  <si>
    <r>
      <t>1.</t>
    </r>
    <r>
      <rPr>
        <sz val="12"/>
        <color rgb="FF0070C0"/>
        <rFont val="新細明體 (本文)"/>
        <family val="3"/>
        <charset val="136"/>
      </rPr>
      <t>填寫</t>
    </r>
    <r>
      <rPr>
        <sz val="12"/>
        <color theme="1"/>
        <rFont val="新細明體"/>
        <family val="2"/>
        <charset val="136"/>
        <scheme val="minor"/>
      </rPr>
      <t>大圖計分表 (由記分員提供)</t>
    </r>
    <phoneticPr fontId="1" type="noConversion"/>
  </si>
  <si>
    <t>改進地方</t>
    <phoneticPr fontId="1" type="noConversion"/>
  </si>
  <si>
    <t>事前開相簿分類好每局直接上傳</t>
    <phoneticPr fontId="1" type="noConversion"/>
  </si>
  <si>
    <t>思考如何縮短得到成績後，立馬同步輸入及登記分數？</t>
    <phoneticPr fontId="1" type="noConversion"/>
  </si>
  <si>
    <t>同分時的認定方式</t>
    <phoneticPr fontId="1" type="noConversion"/>
  </si>
  <si>
    <t>不要含保險</t>
    <phoneticPr fontId="1" type="noConversion"/>
  </si>
  <si>
    <t>依照分區團體賽</t>
    <phoneticPr fontId="1" type="noConversion"/>
  </si>
  <si>
    <t>取前5名</t>
    <phoneticPr fontId="1" type="noConversion"/>
  </si>
  <si>
    <t>火雞獎、霸王花獎、三花獎</t>
    <phoneticPr fontId="1" type="noConversion"/>
  </si>
  <si>
    <t>猜分活動</t>
    <phoneticPr fontId="1" type="noConversion"/>
  </si>
  <si>
    <t>餐費</t>
    <phoneticPr fontId="1" type="noConversion"/>
  </si>
  <si>
    <t>球資</t>
    <phoneticPr fontId="1" type="noConversion"/>
  </si>
  <si>
    <t>租鞋</t>
    <phoneticPr fontId="1" type="noConversion"/>
  </si>
  <si>
    <t>項目</t>
    <phoneticPr fontId="1" type="noConversion"/>
  </si>
  <si>
    <t>金額</t>
    <phoneticPr fontId="1" type="noConversion"/>
  </si>
  <si>
    <t>含在報名費</t>
    <phoneticPr fontId="1" type="noConversion"/>
  </si>
  <si>
    <t>伴手禮</t>
    <phoneticPr fontId="1" type="noConversion"/>
  </si>
  <si>
    <t>公益猜分</t>
    <phoneticPr fontId="1" type="noConversion"/>
  </si>
  <si>
    <t>以報名+匯款優先順序</t>
    <phoneticPr fontId="1" type="noConversion"/>
  </si>
  <si>
    <t>財務</t>
    <phoneticPr fontId="1" type="noConversion"/>
  </si>
  <si>
    <t>Lily</t>
    <phoneticPr fontId="1" type="noConversion"/>
  </si>
  <si>
    <t>場地</t>
    <phoneticPr fontId="1" type="noConversion"/>
  </si>
  <si>
    <t>Eric</t>
    <phoneticPr fontId="1" type="noConversion"/>
  </si>
  <si>
    <t>賽事主持</t>
    <phoneticPr fontId="1" type="noConversion"/>
  </si>
  <si>
    <t>Eason</t>
    <phoneticPr fontId="1" type="noConversion"/>
  </si>
  <si>
    <t>賽程</t>
    <phoneticPr fontId="1" type="noConversion"/>
  </si>
  <si>
    <t>註冊、公文</t>
    <phoneticPr fontId="1" type="noConversion"/>
  </si>
  <si>
    <t>代辦事項：</t>
    <phoneticPr fontId="1" type="noConversion"/>
  </si>
  <si>
    <t>1.前三屆第一名分數</t>
    <phoneticPr fontId="1" type="noConversion"/>
  </si>
  <si>
    <t>2024/12/14(六)</t>
    <phoneticPr fontId="1" type="noConversion"/>
  </si>
  <si>
    <t>應援組</t>
    <phoneticPr fontId="1" type="noConversion"/>
  </si>
  <si>
    <t>取前3名</t>
    <phoneticPr fontId="1" type="noConversion"/>
  </si>
  <si>
    <t>不得重複獲獎</t>
    <phoneticPr fontId="1" type="noConversion"/>
  </si>
  <si>
    <t>加分: 女子單局12分</t>
    <phoneticPr fontId="1" type="noConversion"/>
  </si>
  <si>
    <t>餐廳</t>
    <phoneticPr fontId="1" type="noConversion"/>
  </si>
  <si>
    <t>主辦10000、協辦5000、贊助3000</t>
    <phoneticPr fontId="1" type="noConversion"/>
  </si>
  <si>
    <t>個人贊助2000以上(等值)</t>
    <phoneticPr fontId="1" type="noConversion"/>
  </si>
  <si>
    <t>邀請1位出席</t>
    <phoneticPr fontId="1" type="noConversion"/>
  </si>
  <si>
    <t>Anny</t>
    <phoneticPr fontId="1" type="noConversion"/>
  </si>
  <si>
    <t>2.財務預算表</t>
    <phoneticPr fontId="1" type="noConversion"/>
  </si>
  <si>
    <t>取前7名(限社友至少1位女性)</t>
    <phoneticPr fontId="1" type="noConversion"/>
  </si>
  <si>
    <t xml:space="preserve">B組(A組冠軍分數80%) C組(A組冠軍分數65%) </t>
    <phoneticPr fontId="1" type="noConversion"/>
  </si>
  <si>
    <t>猜分活動(50%彩金、50%捐做公益)</t>
    <phoneticPr fontId="1" type="noConversion"/>
  </si>
  <si>
    <t>收入</t>
    <phoneticPr fontId="1" type="noConversion"/>
  </si>
  <si>
    <t>文宣組</t>
    <phoneticPr fontId="1" type="noConversion"/>
  </si>
  <si>
    <t>Sunny</t>
    <phoneticPr fontId="1" type="noConversion"/>
  </si>
  <si>
    <t>Lucia</t>
    <phoneticPr fontId="1" type="noConversion"/>
  </si>
  <si>
    <t>公益</t>
    <phoneticPr fontId="1" type="noConversion"/>
  </si>
  <si>
    <t>AD</t>
    <phoneticPr fontId="1" type="noConversion"/>
  </si>
  <si>
    <t>糾察聯誼/醫療</t>
    <phoneticPr fontId="1" type="noConversion"/>
  </si>
  <si>
    <t>午宴</t>
    <phoneticPr fontId="1" type="noConversion"/>
  </si>
  <si>
    <t>火雞獎、霸王花獎、技術獎S</t>
    <phoneticPr fontId="1" type="noConversion"/>
  </si>
  <si>
    <t>法律顧問</t>
    <phoneticPr fontId="1" type="noConversion"/>
  </si>
  <si>
    <t>Vincent</t>
    <phoneticPr fontId="1" type="noConversion"/>
  </si>
  <si>
    <t>Benson、Eric(南北)</t>
    <phoneticPr fontId="1" type="noConversion"/>
  </si>
  <si>
    <t>禮品</t>
    <phoneticPr fontId="1" type="noConversion"/>
  </si>
  <si>
    <t>現金不收10%服務費</t>
    <phoneticPr fontId="1" type="noConversion"/>
  </si>
  <si>
    <t>Carrie</t>
    <phoneticPr fontId="1" type="noConversion"/>
  </si>
  <si>
    <t>公益提案: 發食物包(約30mins)</t>
    <phoneticPr fontId="1" type="noConversion"/>
  </si>
  <si>
    <t>英文
職稱</t>
    <phoneticPr fontId="1" type="noConversion"/>
  </si>
  <si>
    <t>所屬社</t>
    <phoneticPr fontId="1" type="noConversion"/>
  </si>
  <si>
    <t>性別</t>
    <phoneticPr fontId="1" type="noConversion"/>
  </si>
  <si>
    <t>身份</t>
    <phoneticPr fontId="1" type="noConversion"/>
  </si>
  <si>
    <t>01-1南區社</t>
  </si>
  <si>
    <t>IPP</t>
  </si>
  <si>
    <t>Meryl</t>
  </si>
  <si>
    <t>女</t>
  </si>
  <si>
    <t>社友</t>
  </si>
  <si>
    <t>PE</t>
  </si>
  <si>
    <t>Queenie</t>
  </si>
  <si>
    <t>林上傑</t>
  </si>
  <si>
    <t>男</t>
  </si>
  <si>
    <t>寶尊眷</t>
  </si>
  <si>
    <t>01-2逸仙社</t>
  </si>
  <si>
    <t>李麗雪</t>
  </si>
  <si>
    <t>P</t>
  </si>
  <si>
    <t>Yuki</t>
  </si>
  <si>
    <t>VP</t>
  </si>
  <si>
    <t>Tina Lei</t>
  </si>
  <si>
    <t>梁任瑋</t>
  </si>
  <si>
    <t>S</t>
  </si>
  <si>
    <t>Vicky</t>
  </si>
  <si>
    <t>劉宜惠</t>
  </si>
  <si>
    <t>Jolin</t>
  </si>
  <si>
    <t>許多福</t>
  </si>
  <si>
    <t>Cris</t>
  </si>
  <si>
    <t>賴以勒</t>
  </si>
  <si>
    <t>Fran</t>
  </si>
  <si>
    <t>02-2健康社</t>
  </si>
  <si>
    <t>吳第明</t>
  </si>
  <si>
    <t>DAG</t>
  </si>
  <si>
    <t>Damon</t>
  </si>
  <si>
    <t>沈方</t>
  </si>
  <si>
    <t>Eva</t>
  </si>
  <si>
    <t>許瑞瑜</t>
  </si>
  <si>
    <t>PP</t>
  </si>
  <si>
    <t>Rita</t>
  </si>
  <si>
    <t>02-3高峰社</t>
  </si>
  <si>
    <t>林武璋</t>
  </si>
  <si>
    <t>Johnnie</t>
  </si>
  <si>
    <t>吳承鴻</t>
  </si>
  <si>
    <t>Rich</t>
  </si>
  <si>
    <t>03-1華南社</t>
  </si>
  <si>
    <t>吳世昌</t>
  </si>
  <si>
    <t>AG</t>
  </si>
  <si>
    <t>AD</t>
  </si>
  <si>
    <t>03-3瑞光社</t>
  </si>
  <si>
    <t>Ander</t>
  </si>
  <si>
    <t>郭芳志</t>
  </si>
  <si>
    <t>Kent</t>
  </si>
  <si>
    <t>Angus</t>
  </si>
  <si>
    <t>王明珠</t>
  </si>
  <si>
    <t>Coco</t>
  </si>
  <si>
    <t>陳錦龍</t>
  </si>
  <si>
    <t>Lawrence</t>
  </si>
  <si>
    <t>蔡佩晏</t>
  </si>
  <si>
    <t>03-5永續發展社</t>
  </si>
  <si>
    <t>柯俊傑</t>
  </si>
  <si>
    <t>CP</t>
  </si>
  <si>
    <t>郭錦駩</t>
  </si>
  <si>
    <t>Tuner</t>
  </si>
  <si>
    <t>游佳鈴</t>
  </si>
  <si>
    <t>Una</t>
  </si>
  <si>
    <t>郭沂萱</t>
  </si>
  <si>
    <t>Melody</t>
  </si>
  <si>
    <t>子女</t>
  </si>
  <si>
    <t>施宇信</t>
  </si>
  <si>
    <t>李國寧</t>
  </si>
  <si>
    <t>Kids</t>
  </si>
  <si>
    <t>04-3民生社</t>
  </si>
  <si>
    <t>高國平</t>
  </si>
  <si>
    <t>Simon</t>
  </si>
  <si>
    <t>王韻嵐</t>
  </si>
  <si>
    <t>Daniel</t>
  </si>
  <si>
    <t>王藝臻</t>
  </si>
  <si>
    <t>呂晨竣</t>
  </si>
  <si>
    <t>04-4松青社</t>
  </si>
  <si>
    <t>謝淮哲</t>
  </si>
  <si>
    <t>04-5政愛社</t>
  </si>
  <si>
    <t>Candy</t>
  </si>
  <si>
    <t>周秋文</t>
  </si>
  <si>
    <t>Andrew</t>
  </si>
  <si>
    <t>陳宜斌</t>
  </si>
  <si>
    <t>Philip</t>
  </si>
  <si>
    <t>曾翊宸</t>
  </si>
  <si>
    <t>Cecilia</t>
  </si>
  <si>
    <t>林豐正</t>
  </si>
  <si>
    <t>Dan</t>
  </si>
  <si>
    <t>Edward</t>
  </si>
  <si>
    <t>謝昊哲</t>
  </si>
  <si>
    <t>P Candy公子</t>
  </si>
  <si>
    <t>曾偉華</t>
  </si>
  <si>
    <t>Gary</t>
  </si>
  <si>
    <t>吳云羨</t>
  </si>
  <si>
    <t>Franny</t>
  </si>
  <si>
    <t>楊奕蘭</t>
  </si>
  <si>
    <t>IPDG</t>
  </si>
  <si>
    <t>Stela</t>
  </si>
  <si>
    <t>05-4風雲社</t>
  </si>
  <si>
    <t>阮念初</t>
  </si>
  <si>
    <t>ID</t>
  </si>
  <si>
    <t>陳錦瑞</t>
  </si>
  <si>
    <t>PP Ken</t>
  </si>
  <si>
    <t>呂東洋</t>
  </si>
  <si>
    <t>Bob</t>
  </si>
  <si>
    <t>06-3南方社</t>
  </si>
  <si>
    <t>周佳樺</t>
  </si>
  <si>
    <t>Jacqueline</t>
  </si>
  <si>
    <t>吳傳仁</t>
  </si>
  <si>
    <t>06-4南光社</t>
  </si>
  <si>
    <t>Venson</t>
  </si>
  <si>
    <t>06-5南英社</t>
  </si>
  <si>
    <t>許顥諹</t>
  </si>
  <si>
    <t>Aleigu</t>
  </si>
  <si>
    <t>Bo</t>
  </si>
  <si>
    <t>黃雅蘭</t>
  </si>
  <si>
    <t>Cheryl</t>
  </si>
  <si>
    <t>06-9南法社</t>
  </si>
  <si>
    <t>胡文翰</t>
  </si>
  <si>
    <t>Ivan</t>
  </si>
  <si>
    <t>楊書維</t>
  </si>
  <si>
    <t>Jude</t>
  </si>
  <si>
    <t>08-5新北投社</t>
  </si>
  <si>
    <t>張珮妮</t>
  </si>
  <si>
    <t>Peini</t>
  </si>
  <si>
    <t>08-6華真社</t>
  </si>
  <si>
    <t>黃奕閔</t>
  </si>
  <si>
    <t>吳宇強</t>
  </si>
  <si>
    <t>Jiang</t>
  </si>
  <si>
    <t>蘇俊璘</t>
  </si>
  <si>
    <t>Max</t>
  </si>
  <si>
    <t>10-2南北社</t>
  </si>
  <si>
    <t>尤繼寬</t>
  </si>
  <si>
    <t>陳瀅如</t>
  </si>
  <si>
    <t>Evans</t>
  </si>
  <si>
    <t>鄭采柔</t>
  </si>
  <si>
    <t>Tiffany</t>
  </si>
  <si>
    <t>11-2文華社</t>
  </si>
  <si>
    <t>蔡景明</t>
  </si>
  <si>
    <t>辜俊豪</t>
  </si>
  <si>
    <t>Dustin</t>
  </si>
  <si>
    <t>郭振農</t>
  </si>
  <si>
    <t>Water</t>
  </si>
  <si>
    <t>11-4西華社</t>
  </si>
  <si>
    <t>吳健生</t>
  </si>
  <si>
    <t>郭芸槿</t>
  </si>
  <si>
    <t>Belle</t>
  </si>
  <si>
    <t>石碧珍</t>
  </si>
  <si>
    <t>Angel</t>
  </si>
  <si>
    <t>陳憲修</t>
  </si>
  <si>
    <t>Jeffery</t>
  </si>
  <si>
    <t>11-5碩華社</t>
  </si>
  <si>
    <t>Benson</t>
  </si>
  <si>
    <t>張富美</t>
  </si>
  <si>
    <t>Maggie</t>
  </si>
  <si>
    <t>孫國鈞</t>
  </si>
  <si>
    <t>Tempo</t>
  </si>
  <si>
    <t>胡家禎</t>
  </si>
  <si>
    <t>Anderson</t>
  </si>
  <si>
    <t>董金治</t>
  </si>
  <si>
    <t>Ginny</t>
  </si>
  <si>
    <t>李家慶</t>
  </si>
  <si>
    <t>12-1龍門社</t>
  </si>
  <si>
    <t>Sure</t>
  </si>
  <si>
    <t>許懷文</t>
  </si>
  <si>
    <t>P Lin.C夫人</t>
  </si>
  <si>
    <t>Borker</t>
  </si>
  <si>
    <t>Broker夫人</t>
  </si>
  <si>
    <t>12-2龍華社</t>
  </si>
  <si>
    <t>Aaron</t>
  </si>
  <si>
    <t>Austin</t>
  </si>
  <si>
    <t>Bill</t>
  </si>
  <si>
    <t>Nelson</t>
  </si>
  <si>
    <t>王南廸</t>
  </si>
  <si>
    <t>張舒媛</t>
  </si>
  <si>
    <t>Stone寶眷</t>
  </si>
  <si>
    <t>Kevin寶眷</t>
  </si>
  <si>
    <t>張均睿</t>
  </si>
  <si>
    <t>Joseph公子</t>
  </si>
  <si>
    <t>許勝財</t>
  </si>
  <si>
    <t>12-6龍來社</t>
  </si>
  <si>
    <t>張碩宸</t>
  </si>
  <si>
    <t>PN</t>
  </si>
  <si>
    <t>王炤華</t>
  </si>
  <si>
    <t>Jacky</t>
  </si>
  <si>
    <t>蔡維中</t>
  </si>
  <si>
    <t>Linus</t>
  </si>
  <si>
    <t>莊順全</t>
  </si>
  <si>
    <t>Carlos</t>
  </si>
  <si>
    <t>12-7龍穎社</t>
  </si>
  <si>
    <t>鄭捷之</t>
  </si>
  <si>
    <t>Jeffrey</t>
  </si>
  <si>
    <t>巫政鴻</t>
  </si>
  <si>
    <t>Sunny</t>
  </si>
  <si>
    <t>黃子宜</t>
  </si>
  <si>
    <t>吳明璋</t>
  </si>
  <si>
    <t>Nick</t>
  </si>
  <si>
    <t>12-8龍舟社</t>
  </si>
  <si>
    <t>謝源展</t>
  </si>
  <si>
    <t>Dwight</t>
  </si>
  <si>
    <t>黃俊榕</t>
  </si>
  <si>
    <t>謝政凱</t>
  </si>
  <si>
    <t>Jeng</t>
  </si>
  <si>
    <t>蕭芳怡</t>
  </si>
  <si>
    <t>Fanny</t>
  </si>
  <si>
    <t>謝妍葶</t>
  </si>
  <si>
    <t>康芷涵</t>
  </si>
  <si>
    <t>Effy</t>
  </si>
  <si>
    <t>鍾宜靜</t>
  </si>
  <si>
    <t>Jocelyn</t>
  </si>
  <si>
    <t>林達義</t>
  </si>
  <si>
    <t>洪春美</t>
  </si>
  <si>
    <t>Angie</t>
  </si>
  <si>
    <t>朱建龍</t>
  </si>
  <si>
    <t>吳淑玲</t>
  </si>
  <si>
    <t>Enya</t>
  </si>
  <si>
    <t>13-2天一社</t>
  </si>
  <si>
    <t>劉穎達</t>
  </si>
  <si>
    <t>Albert</t>
  </si>
  <si>
    <t>S/CP</t>
    <phoneticPr fontId="1" type="noConversion"/>
  </si>
  <si>
    <t>眷屬組</t>
    <phoneticPr fontId="1" type="noConversion"/>
  </si>
  <si>
    <t>G:火雞獎
F:霸王花
S:技術球</t>
    <phoneticPr fontId="1" type="noConversion"/>
  </si>
  <si>
    <t>第 3 分區</t>
    <phoneticPr fontId="1" type="noConversion"/>
  </si>
  <si>
    <t>第 12 分區</t>
    <phoneticPr fontId="1" type="noConversion"/>
  </si>
  <si>
    <t>第 6 分區</t>
    <phoneticPr fontId="1" type="noConversion"/>
  </si>
  <si>
    <t>第 11 分區</t>
    <phoneticPr fontId="1" type="noConversion"/>
  </si>
  <si>
    <t>第 4 分區</t>
    <phoneticPr fontId="1" type="noConversion"/>
  </si>
  <si>
    <t>第 1 分區</t>
    <phoneticPr fontId="1" type="noConversion"/>
  </si>
  <si>
    <t>序號</t>
    <phoneticPr fontId="1" type="noConversion"/>
  </si>
  <si>
    <t>12-2龍華社</t>
    <phoneticPr fontId="1" type="noConversion"/>
  </si>
  <si>
    <t>計分員 1~10</t>
    <phoneticPr fontId="1" type="noConversion"/>
  </si>
  <si>
    <t>Mac</t>
    <phoneticPr fontId="1" type="noConversion"/>
  </si>
  <si>
    <t>計分總表</t>
    <phoneticPr fontId="1" type="noConversion"/>
  </si>
  <si>
    <r>
      <t>3.填寫計分表(A、B表)每局分數後</t>
    </r>
    <r>
      <rPr>
        <sz val="12"/>
        <color rgb="FF0070C0"/>
        <rFont val="新細明體"/>
        <family val="3"/>
        <charset val="136"/>
      </rPr>
      <t>交給</t>
    </r>
    <r>
      <rPr>
        <sz val="12"/>
        <color theme="1"/>
        <rFont val="新細明體"/>
        <family val="1"/>
        <charset val="136"/>
      </rPr>
      <t>『</t>
    </r>
    <r>
      <rPr>
        <sz val="12"/>
        <color theme="1"/>
        <rFont val="新細明體"/>
        <family val="2"/>
        <charset val="136"/>
        <scheme val="minor"/>
      </rPr>
      <t>統計員』</t>
    </r>
    <phoneticPr fontId="1" type="noConversion"/>
  </si>
  <si>
    <r>
      <t>4.連續ＸＸ請</t>
    </r>
    <r>
      <rPr>
        <sz val="12"/>
        <color rgb="FF0070C0"/>
        <rFont val="新細明體"/>
        <family val="3"/>
        <charset val="136"/>
      </rPr>
      <t>通知</t>
    </r>
    <r>
      <rPr>
        <sz val="12"/>
        <color theme="1"/>
        <rFont val="新細明體"/>
        <family val="1"/>
        <charset val="136"/>
      </rPr>
      <t>『</t>
    </r>
    <r>
      <rPr>
        <sz val="12"/>
        <color theme="1"/>
        <rFont val="新細明體"/>
        <family val="2"/>
        <charset val="136"/>
        <scheme val="minor"/>
      </rPr>
      <t>主持人及啦啦隊』準備</t>
    </r>
    <phoneticPr fontId="1" type="noConversion"/>
  </si>
  <si>
    <t>10-1南港社</t>
  </si>
  <si>
    <t>謝少懷</t>
  </si>
  <si>
    <t>Printer</t>
  </si>
  <si>
    <t>李秀端</t>
  </si>
  <si>
    <t>Show</t>
  </si>
  <si>
    <t>鄭瑞卿</t>
    <phoneticPr fontId="1" type="noConversion"/>
  </si>
  <si>
    <t>PP</t>
    <phoneticPr fontId="1" type="noConversion"/>
  </si>
  <si>
    <t>Jerry</t>
    <phoneticPr fontId="1" type="noConversion"/>
  </si>
  <si>
    <t>汪大為</t>
  </si>
  <si>
    <t>第 8 分區</t>
    <phoneticPr fontId="1" type="noConversion"/>
  </si>
  <si>
    <r>
      <t>3.填寫計分表(A、B表)每局分數後</t>
    </r>
    <r>
      <rPr>
        <sz val="12"/>
        <color rgb="FFFF0000"/>
        <rFont val="新細明體"/>
        <family val="3"/>
        <charset val="136"/>
      </rPr>
      <t>盡快</t>
    </r>
    <r>
      <rPr>
        <sz val="12"/>
        <color rgb="FF0070C0"/>
        <rFont val="新細明體"/>
        <family val="3"/>
        <charset val="136"/>
      </rPr>
      <t>交給</t>
    </r>
    <r>
      <rPr>
        <sz val="12"/>
        <color theme="1"/>
        <rFont val="新細明體"/>
        <family val="1"/>
        <charset val="136"/>
      </rPr>
      <t>『</t>
    </r>
    <r>
      <rPr>
        <sz val="12"/>
        <color theme="1"/>
        <rFont val="新細明體"/>
        <family val="2"/>
        <charset val="136"/>
        <scheme val="minor"/>
      </rPr>
      <t>統計員』</t>
    </r>
    <phoneticPr fontId="1" type="noConversion"/>
  </si>
  <si>
    <t>總計分表</t>
    <phoneticPr fontId="1" type="noConversion"/>
  </si>
  <si>
    <t>03-2華陽社</t>
    <phoneticPr fontId="1" type="noConversion"/>
  </si>
  <si>
    <t>王欽秉</t>
    <phoneticPr fontId="1" type="noConversion"/>
  </si>
  <si>
    <t>Bill</t>
    <phoneticPr fontId="1" type="noConversion"/>
  </si>
  <si>
    <t>02-3高峰社</t>
    <phoneticPr fontId="1" type="noConversion"/>
  </si>
  <si>
    <t>王懿如</t>
    <phoneticPr fontId="1" type="noConversion"/>
  </si>
  <si>
    <t>PE</t>
    <phoneticPr fontId="1" type="noConversion"/>
  </si>
  <si>
    <t>Eve</t>
    <phoneticPr fontId="1" type="noConversion"/>
  </si>
  <si>
    <t>03-4華東社</t>
    <phoneticPr fontId="1" type="noConversion"/>
  </si>
  <si>
    <t>袁羽彤</t>
    <phoneticPr fontId="1" type="noConversion"/>
  </si>
  <si>
    <t>楊朋珅</t>
    <phoneticPr fontId="1" type="noConversion"/>
  </si>
  <si>
    <t>04-5泰愛社</t>
    <phoneticPr fontId="1" type="noConversion"/>
  </si>
  <si>
    <t>謝孟宏</t>
    <phoneticPr fontId="1" type="noConversion"/>
  </si>
  <si>
    <t>陳世平</t>
    <phoneticPr fontId="1" type="noConversion"/>
  </si>
  <si>
    <t>IPP</t>
    <phoneticPr fontId="1" type="noConversion"/>
  </si>
  <si>
    <t>Teddy</t>
    <phoneticPr fontId="1" type="noConversion"/>
  </si>
  <si>
    <t>S</t>
    <phoneticPr fontId="1" type="noConversion"/>
  </si>
  <si>
    <t>SS</t>
    <phoneticPr fontId="1" type="noConversion"/>
  </si>
  <si>
    <t>SF</t>
    <phoneticPr fontId="1" type="noConversion"/>
  </si>
  <si>
    <t>蕭傑良</t>
    <phoneticPr fontId="1" type="noConversion"/>
  </si>
  <si>
    <t>男</t>
    <phoneticPr fontId="1" type="noConversion"/>
  </si>
  <si>
    <t>james</t>
    <phoneticPr fontId="1" type="noConversion"/>
  </si>
  <si>
    <t>代打練習</t>
    <phoneticPr fontId="1" type="noConversion"/>
  </si>
  <si>
    <t>SFS</t>
    <phoneticPr fontId="1" type="noConversion"/>
  </si>
  <si>
    <t>SG</t>
    <phoneticPr fontId="1" type="noConversion"/>
  </si>
  <si>
    <t>FF</t>
    <phoneticPr fontId="1" type="noConversion"/>
  </si>
  <si>
    <t>SSS</t>
    <phoneticPr fontId="1" type="noConversion"/>
  </si>
  <si>
    <t>SSF</t>
    <phoneticPr fontId="1" type="noConversion"/>
  </si>
  <si>
    <t>G</t>
    <phoneticPr fontId="1" type="noConversion"/>
  </si>
  <si>
    <t>S,G,S</t>
    <phoneticPr fontId="1" type="noConversion"/>
  </si>
  <si>
    <t>S,GS</t>
    <phoneticPr fontId="1" type="noConversion"/>
  </si>
  <si>
    <t>FFGFS</t>
    <phoneticPr fontId="1" type="noConversion"/>
  </si>
  <si>
    <t>SSSF</t>
    <phoneticPr fontId="1" type="noConversion"/>
  </si>
  <si>
    <t>SGG</t>
    <phoneticPr fontId="1" type="noConversion"/>
  </si>
  <si>
    <t>GSSG</t>
    <phoneticPr fontId="1" type="noConversion"/>
  </si>
  <si>
    <t>F</t>
    <phoneticPr fontId="1" type="noConversion"/>
  </si>
  <si>
    <t>GG</t>
    <phoneticPr fontId="1" type="noConversion"/>
  </si>
  <si>
    <t>SSG</t>
    <phoneticPr fontId="1" type="noConversion"/>
  </si>
  <si>
    <t>Ａ男1</t>
    <phoneticPr fontId="1" type="noConversion"/>
  </si>
  <si>
    <t>A女1</t>
    <phoneticPr fontId="1" type="noConversion"/>
  </si>
  <si>
    <t>A女2</t>
    <phoneticPr fontId="1" type="noConversion"/>
  </si>
  <si>
    <t>A女3</t>
    <phoneticPr fontId="1" type="noConversion"/>
  </si>
  <si>
    <t>Ａ男2</t>
    <phoneticPr fontId="1" type="noConversion"/>
  </si>
  <si>
    <t>Ａ男3</t>
    <phoneticPr fontId="1" type="noConversion"/>
  </si>
  <si>
    <t>B組冠軍
529*80%=423</t>
    <phoneticPr fontId="1" type="noConversion"/>
  </si>
  <si>
    <t>B1</t>
    <phoneticPr fontId="1" type="noConversion"/>
  </si>
  <si>
    <t>B2</t>
    <phoneticPr fontId="1" type="noConversion"/>
  </si>
  <si>
    <t>B3</t>
    <phoneticPr fontId="1" type="noConversion"/>
  </si>
  <si>
    <t>B組冠軍
529*65%=344</t>
    <phoneticPr fontId="1" type="noConversion"/>
  </si>
  <si>
    <t>C1</t>
    <phoneticPr fontId="1" type="noConversion"/>
  </si>
  <si>
    <t>C3</t>
    <phoneticPr fontId="1" type="noConversion"/>
  </si>
  <si>
    <t>電腦</t>
    <phoneticPr fontId="1" type="noConversion"/>
  </si>
  <si>
    <t>G:火雞獎
F:霸王花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</si>
</sst>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m&quot;月&quot;d&quot;日&quot;"/>
  </numFmts>
  <fonts count="17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12"/>
      <color indexed="8"/>
      <name val="新細明體"/>
      <family val="1"/>
      <charset val="136"/>
    </font>
    <font>
      <u/>
      <sz val="12"/>
      <color indexed="12"/>
      <name val="新細明體"/>
      <family val="1"/>
      <charset val="136"/>
    </font>
    <font>
      <sz val="12"/>
      <color theme="1"/>
      <name val="蘭亭黑-繁 中黑"/>
      <charset val="136"/>
    </font>
    <font>
      <sz val="12"/>
      <color indexed="8"/>
      <name val="蘭亭黑-繁 中黑"/>
      <charset val="136"/>
    </font>
    <font>
      <sz val="12"/>
      <color rgb="FF0070C0"/>
      <name val="新細明體 (本文)"/>
      <family val="3"/>
      <charset val="136"/>
    </font>
    <font>
      <sz val="12"/>
      <color rgb="FFFF0000"/>
      <name val="新細明體 (本文)"/>
      <family val="3"/>
      <charset val="136"/>
    </font>
    <font>
      <sz val="12"/>
      <color theme="8" tint="-0.249977111117893"/>
      <name val="新細明體 (本文)"/>
      <family val="3"/>
      <charset val="136"/>
    </font>
    <font>
      <sz val="12"/>
      <color theme="1"/>
      <name val="蘭亭黑-簡 中黑 "/>
      <family val="3"/>
      <charset val="136"/>
    </font>
    <font>
      <sz val="12"/>
      <color theme="1"/>
      <name val="蘭亭黑-簡 中黑 "/>
      <charset val="134"/>
    </font>
    <font>
      <sz val="12"/>
      <color rgb="FF000000"/>
      <name val="蘭亭黑-繁 中黑"/>
      <charset val="136"/>
    </font>
    <font>
      <sz val="12"/>
      <color rgb="FF0070C0"/>
      <name val="新細明體"/>
      <family val="3"/>
      <charset val="136"/>
    </font>
    <font>
      <sz val="12"/>
      <color theme="1"/>
      <name val="新細明體"/>
      <family val="1"/>
      <charset val="136"/>
    </font>
    <font>
      <sz val="12"/>
      <color rgb="FFFF0000"/>
      <name val="新細明體"/>
      <family val="3"/>
      <charset val="136"/>
    </font>
    <font>
      <sz val="12"/>
      <color rgb="FFFF0000"/>
      <name val="蘭亭黑-繁 中黑"/>
      <charset val="136"/>
    </font>
  </fonts>
  <fills count="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C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FF8AD8"/>
        <bgColor indexed="64"/>
      </patternFill>
    </fill>
    <fill>
      <patternFill patternType="solid">
        <fgColor rgb="FFFF0000"/>
        <bgColor indexed="64"/>
      </patternFill>
    </fill>
  </fills>
  <borders count="1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 diagonalUp="1"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 style="thin">
        <color indexed="64"/>
      </diagonal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/>
      <right style="thin">
        <color theme="1"/>
      </right>
      <top style="thin">
        <color theme="1"/>
      </top>
      <bottom/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4" fillId="0" borderId="0" applyNumberFormat="0" applyFill="0" applyBorder="0" applyAlignment="0" applyProtection="0">
      <alignment vertical="top"/>
      <protection locked="0"/>
    </xf>
  </cellStyleXfs>
  <cellXfs count="51">
    <xf numFmtId="0" fontId="0" fillId="0" borderId="0" xfId="0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2" borderId="1" xfId="1" applyFont="1" applyFill="1" applyBorder="1" applyAlignment="1">
      <alignment horizontal="center" vertical="center" shrinkToFit="1"/>
    </xf>
    <xf numFmtId="0" fontId="5" fillId="0" borderId="4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7" xfId="0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176" fontId="0" fillId="0" borderId="0" xfId="0" applyNumberFormat="1">
      <alignment vertical="center"/>
    </xf>
    <xf numFmtId="0" fontId="10" fillId="0" borderId="11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11" fillId="0" borderId="1" xfId="0" applyFont="1" applyBorder="1" applyAlignment="1"/>
    <xf numFmtId="0" fontId="11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1" fillId="4" borderId="1" xfId="0" applyFont="1" applyFill="1" applyBorder="1" applyAlignment="1"/>
    <xf numFmtId="0" fontId="11" fillId="4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6" fillId="0" borderId="1" xfId="1" applyFont="1" applyBorder="1" applyAlignment="1">
      <alignment horizontal="center" vertical="center" shrinkToFit="1"/>
    </xf>
    <xf numFmtId="0" fontId="11" fillId="0" borderId="1" xfId="0" applyFont="1" applyBorder="1">
      <alignment vertical="center"/>
    </xf>
    <xf numFmtId="0" fontId="11" fillId="5" borderId="1" xfId="0" applyFont="1" applyFill="1" applyBorder="1">
      <alignment vertical="center"/>
    </xf>
    <xf numFmtId="0" fontId="11" fillId="5" borderId="1" xfId="0" applyFont="1" applyFill="1" applyBorder="1" applyAlignment="1">
      <alignment horizontal="center" vertical="center"/>
    </xf>
    <xf numFmtId="0" fontId="11" fillId="4" borderId="1" xfId="0" applyFont="1" applyFill="1" applyBorder="1">
      <alignment vertical="center"/>
    </xf>
    <xf numFmtId="0" fontId="11" fillId="4" borderId="1" xfId="0" applyFont="1" applyFill="1" applyBorder="1" applyAlignment="1">
      <alignment horizontal="center" vertical="center"/>
    </xf>
    <xf numFmtId="0" fontId="11" fillId="6" borderId="1" xfId="0" applyFont="1" applyFill="1" applyBorder="1" applyAlignment="1">
      <alignment horizontal="center" vertical="center"/>
    </xf>
    <xf numFmtId="0" fontId="11" fillId="0" borderId="6" xfId="0" applyFont="1" applyBorder="1">
      <alignment vertical="center"/>
    </xf>
    <xf numFmtId="0" fontId="5" fillId="7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 wrapText="1"/>
    </xf>
    <xf numFmtId="0" fontId="16" fillId="0" borderId="1" xfId="0" applyFont="1" applyBorder="1" applyAlignment="1">
      <alignment horizontal="center" vertical="center"/>
    </xf>
    <xf numFmtId="0" fontId="16" fillId="4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6" fillId="3" borderId="1" xfId="1" applyFont="1" applyFill="1" applyBorder="1" applyAlignment="1">
      <alignment horizontal="center" vertical="center" shrinkToFit="1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11" fillId="0" borderId="6" xfId="0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</cellXfs>
  <cellStyles count="4">
    <cellStyle name="一般" xfId="0" builtinId="0"/>
    <cellStyle name="一般 2" xfId="1" xr:uid="{8F195559-70D0-A54C-8E57-38FF4ABE5561}"/>
    <cellStyle name="一般 3" xfId="2" xr:uid="{A5324275-8D19-D044-8999-D74F55801354}"/>
    <cellStyle name="超連結 2" xfId="3" xr:uid="{E2457A95-DB12-7349-9866-02654D01A79A}"/>
  </cellStyles>
  <dxfs count="0"/>
  <tableStyles count="0" defaultTableStyle="TableStyleMedium2" defaultPivotStyle="PivotStyleLight16"/>
  <colors>
    <mruColors>
      <color rgb="FFFF8AD8"/>
      <color rgb="FFFFFC00"/>
      <color rgb="FFFF4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</xdr:colOff>
      <xdr:row>0</xdr:row>
      <xdr:rowOff>0</xdr:rowOff>
    </xdr:from>
    <xdr:to>
      <xdr:col>16</xdr:col>
      <xdr:colOff>0</xdr:colOff>
      <xdr:row>0</xdr:row>
      <xdr:rowOff>714042</xdr:rowOff>
    </xdr:to>
    <xdr:pic>
      <xdr:nvPicPr>
        <xdr:cNvPr id="3" name="圖片 2">
          <a:extLst>
            <a:ext uri="{FF2B5EF4-FFF2-40B4-BE49-F238E27FC236}">
              <a16:creationId xmlns:a16="http://schemas.microsoft.com/office/drawing/2014/main" id="{2097023F-FEF7-5187-BAF7-57020C44D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" y="0"/>
          <a:ext cx="12252960" cy="71404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</xdr:colOff>
      <xdr:row>0</xdr:row>
      <xdr:rowOff>0</xdr:rowOff>
    </xdr:from>
    <xdr:to>
      <xdr:col>16</xdr:col>
      <xdr:colOff>10160</xdr:colOff>
      <xdr:row>1</xdr:row>
      <xdr:rowOff>8170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8A07F7B-5BD8-8749-83BD-7E3D7C5CADA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" y="0"/>
          <a:ext cx="12344400" cy="71937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</xdr:colOff>
      <xdr:row>0</xdr:row>
      <xdr:rowOff>0</xdr:rowOff>
    </xdr:from>
    <xdr:to>
      <xdr:col>16</xdr:col>
      <xdr:colOff>20320</xdr:colOff>
      <xdr:row>1</xdr:row>
      <xdr:rowOff>10444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92DAEA88-2EAB-FF49-9931-EB47558681B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" y="0"/>
          <a:ext cx="12557760" cy="73180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</xdr:colOff>
      <xdr:row>0</xdr:row>
      <xdr:rowOff>0</xdr:rowOff>
    </xdr:from>
    <xdr:to>
      <xdr:col>16</xdr:col>
      <xdr:colOff>0</xdr:colOff>
      <xdr:row>1</xdr:row>
      <xdr:rowOff>12220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9DA988C0-DCC7-4D4B-9488-F96167E137A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" y="0"/>
          <a:ext cx="12562840" cy="736120"/>
        </a:xfrm>
        <a:prstGeom prst="rect">
          <a:avLst/>
        </a:prstGeom>
      </xdr:spPr>
    </xdr:pic>
    <xdr:clientData/>
  </xdr:twoCellAnchor>
  <xdr:oneCellAnchor>
    <xdr:from>
      <xdr:col>10</xdr:col>
      <xdr:colOff>274320</xdr:colOff>
      <xdr:row>0</xdr:row>
      <xdr:rowOff>0</xdr:rowOff>
    </xdr:from>
    <xdr:ext cx="447040" cy="718466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6F453852-1930-9246-E8EC-3D773AB67802}"/>
            </a:ext>
          </a:extLst>
        </xdr:cNvPr>
        <xdr:cNvSpPr txBox="1"/>
      </xdr:nvSpPr>
      <xdr:spPr>
        <a:xfrm>
          <a:off x="7975600" y="0"/>
          <a:ext cx="447040" cy="7184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TW" sz="4000">
              <a:solidFill>
                <a:srgbClr val="FFFF00"/>
              </a:solidFill>
            </a:rPr>
            <a:t>3</a:t>
          </a:r>
          <a:endParaRPr lang="zh-TW" altLang="en-US" sz="4000">
            <a:solidFill>
              <a:srgbClr val="FFFF00"/>
            </a:solidFill>
          </a:endParaRPr>
        </a:p>
      </xdr:txBody>
    </xdr:sp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</xdr:colOff>
      <xdr:row>0</xdr:row>
      <xdr:rowOff>0</xdr:rowOff>
    </xdr:from>
    <xdr:to>
      <xdr:col>16</xdr:col>
      <xdr:colOff>0</xdr:colOff>
      <xdr:row>1</xdr:row>
      <xdr:rowOff>12220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23119B9-EA58-8E4C-A728-89CD8E6C62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" y="0"/>
          <a:ext cx="12562840" cy="736120"/>
        </a:xfrm>
        <a:prstGeom prst="rect">
          <a:avLst/>
        </a:prstGeom>
      </xdr:spPr>
    </xdr:pic>
    <xdr:clientData/>
  </xdr:twoCellAnchor>
  <xdr:oneCellAnchor>
    <xdr:from>
      <xdr:col>10</xdr:col>
      <xdr:colOff>233680</xdr:colOff>
      <xdr:row>0</xdr:row>
      <xdr:rowOff>0</xdr:rowOff>
    </xdr:from>
    <xdr:ext cx="447040" cy="718466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9F1A08F2-D1EF-D348-BDDC-9FA6BD72E235}"/>
            </a:ext>
          </a:extLst>
        </xdr:cNvPr>
        <xdr:cNvSpPr txBox="1"/>
      </xdr:nvSpPr>
      <xdr:spPr>
        <a:xfrm>
          <a:off x="7934960" y="0"/>
          <a:ext cx="447040" cy="7184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TW" sz="4000">
              <a:solidFill>
                <a:srgbClr val="FFFF00"/>
              </a:solidFill>
            </a:rPr>
            <a:t>4</a:t>
          </a:r>
          <a:endParaRPr lang="zh-TW" altLang="en-US" sz="4000">
            <a:solidFill>
              <a:srgbClr val="FFFF00"/>
            </a:solidFill>
          </a:endParaRPr>
        </a:p>
      </xdr:txBody>
    </xdr:sp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</xdr:colOff>
      <xdr:row>0</xdr:row>
      <xdr:rowOff>0</xdr:rowOff>
    </xdr:from>
    <xdr:to>
      <xdr:col>16</xdr:col>
      <xdr:colOff>0</xdr:colOff>
      <xdr:row>1</xdr:row>
      <xdr:rowOff>12220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5FBACE31-7B65-9148-90DF-DCA5E932387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" y="0"/>
          <a:ext cx="12562840" cy="736120"/>
        </a:xfrm>
        <a:prstGeom prst="rect">
          <a:avLst/>
        </a:prstGeom>
      </xdr:spPr>
    </xdr:pic>
    <xdr:clientData/>
  </xdr:twoCellAnchor>
  <xdr:oneCellAnchor>
    <xdr:from>
      <xdr:col>10</xdr:col>
      <xdr:colOff>193040</xdr:colOff>
      <xdr:row>0</xdr:row>
      <xdr:rowOff>10160</xdr:rowOff>
    </xdr:from>
    <xdr:ext cx="447040" cy="718466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8D6D3016-A7F9-E544-B0FD-63A4B56B1055}"/>
            </a:ext>
          </a:extLst>
        </xdr:cNvPr>
        <xdr:cNvSpPr txBox="1"/>
      </xdr:nvSpPr>
      <xdr:spPr>
        <a:xfrm>
          <a:off x="7894320" y="10160"/>
          <a:ext cx="447040" cy="7184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TW" sz="4000">
              <a:solidFill>
                <a:srgbClr val="FFFF00"/>
              </a:solidFill>
            </a:rPr>
            <a:t>5</a:t>
          </a:r>
          <a:endParaRPr lang="zh-TW" altLang="en-US" sz="4000">
            <a:solidFill>
              <a:srgbClr val="FFFF00"/>
            </a:solidFill>
          </a:endParaRPr>
        </a:p>
      </xdr:txBody>
    </xdr:sp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</xdr:colOff>
      <xdr:row>0</xdr:row>
      <xdr:rowOff>0</xdr:rowOff>
    </xdr:from>
    <xdr:to>
      <xdr:col>16</xdr:col>
      <xdr:colOff>0</xdr:colOff>
      <xdr:row>1</xdr:row>
      <xdr:rowOff>12220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5C74EB4-6851-1846-BE6E-D4CF955B94D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" y="0"/>
          <a:ext cx="12562840" cy="736120"/>
        </a:xfrm>
        <a:prstGeom prst="rect">
          <a:avLst/>
        </a:prstGeom>
      </xdr:spPr>
    </xdr:pic>
    <xdr:clientData/>
  </xdr:twoCellAnchor>
  <xdr:oneCellAnchor>
    <xdr:from>
      <xdr:col>10</xdr:col>
      <xdr:colOff>182880</xdr:colOff>
      <xdr:row>0</xdr:row>
      <xdr:rowOff>0</xdr:rowOff>
    </xdr:from>
    <xdr:ext cx="447040" cy="718466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094955D7-C299-334E-B7D7-4C888A9D54A1}"/>
            </a:ext>
          </a:extLst>
        </xdr:cNvPr>
        <xdr:cNvSpPr txBox="1"/>
      </xdr:nvSpPr>
      <xdr:spPr>
        <a:xfrm>
          <a:off x="7884160" y="0"/>
          <a:ext cx="447040" cy="7184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TW" sz="4000">
              <a:solidFill>
                <a:srgbClr val="FFFF00"/>
              </a:solidFill>
            </a:rPr>
            <a:t>6</a:t>
          </a:r>
          <a:endParaRPr lang="zh-TW" altLang="en-US" sz="4000">
            <a:solidFill>
              <a:srgbClr val="FFFF00"/>
            </a:solidFill>
          </a:endParaRPr>
        </a:p>
      </xdr:txBody>
    </xdr:sp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</xdr:colOff>
      <xdr:row>0</xdr:row>
      <xdr:rowOff>0</xdr:rowOff>
    </xdr:from>
    <xdr:to>
      <xdr:col>16</xdr:col>
      <xdr:colOff>0</xdr:colOff>
      <xdr:row>1</xdr:row>
      <xdr:rowOff>12220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D014FE88-B9AA-D54A-AA79-381C7233CA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" y="0"/>
          <a:ext cx="12562840" cy="736120"/>
        </a:xfrm>
        <a:prstGeom prst="rect">
          <a:avLst/>
        </a:prstGeom>
      </xdr:spPr>
    </xdr:pic>
    <xdr:clientData/>
  </xdr:twoCellAnchor>
  <xdr:oneCellAnchor>
    <xdr:from>
      <xdr:col>10</xdr:col>
      <xdr:colOff>213360</xdr:colOff>
      <xdr:row>0</xdr:row>
      <xdr:rowOff>0</xdr:rowOff>
    </xdr:from>
    <xdr:ext cx="447040" cy="718466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478F0315-4C3D-1645-ABC5-6358845C710A}"/>
            </a:ext>
          </a:extLst>
        </xdr:cNvPr>
        <xdr:cNvSpPr txBox="1"/>
      </xdr:nvSpPr>
      <xdr:spPr>
        <a:xfrm>
          <a:off x="7914640" y="0"/>
          <a:ext cx="447040" cy="7184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TW" sz="4000">
              <a:solidFill>
                <a:srgbClr val="FFFF00"/>
              </a:solidFill>
            </a:rPr>
            <a:t>7</a:t>
          </a:r>
          <a:endParaRPr lang="zh-TW" altLang="en-US" sz="4000">
            <a:solidFill>
              <a:srgbClr val="FFFF00"/>
            </a:solidFill>
          </a:endParaRPr>
        </a:p>
      </xdr:txBody>
    </xdr:sp>
    <xdr:clientData/>
  </xdr:one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</xdr:colOff>
      <xdr:row>0</xdr:row>
      <xdr:rowOff>0</xdr:rowOff>
    </xdr:from>
    <xdr:to>
      <xdr:col>16</xdr:col>
      <xdr:colOff>0</xdr:colOff>
      <xdr:row>1</xdr:row>
      <xdr:rowOff>12220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1CF3DB77-C4C1-974C-969E-036FC09EA0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" y="0"/>
          <a:ext cx="12562840" cy="736120"/>
        </a:xfrm>
        <a:prstGeom prst="rect">
          <a:avLst/>
        </a:prstGeom>
      </xdr:spPr>
    </xdr:pic>
    <xdr:clientData/>
  </xdr:twoCellAnchor>
  <xdr:oneCellAnchor>
    <xdr:from>
      <xdr:col>10</xdr:col>
      <xdr:colOff>355600</xdr:colOff>
      <xdr:row>0</xdr:row>
      <xdr:rowOff>0</xdr:rowOff>
    </xdr:from>
    <xdr:ext cx="447040" cy="718466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0FD7A19D-C25D-7847-8E65-EB9A3BC3959A}"/>
            </a:ext>
          </a:extLst>
        </xdr:cNvPr>
        <xdr:cNvSpPr txBox="1"/>
      </xdr:nvSpPr>
      <xdr:spPr>
        <a:xfrm>
          <a:off x="7853680" y="0"/>
          <a:ext cx="447040" cy="7184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TW" sz="4000">
              <a:solidFill>
                <a:srgbClr val="FFFF00"/>
              </a:solidFill>
            </a:rPr>
            <a:t>8</a:t>
          </a:r>
          <a:endParaRPr lang="zh-TW" altLang="en-US" sz="4000">
            <a:solidFill>
              <a:srgbClr val="FFFF00"/>
            </a:solidFill>
          </a:endParaRPr>
        </a:p>
      </xdr:txBody>
    </xdr:sp>
    <xdr:clientData/>
  </xdr:one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</xdr:colOff>
      <xdr:row>0</xdr:row>
      <xdr:rowOff>0</xdr:rowOff>
    </xdr:from>
    <xdr:to>
      <xdr:col>16</xdr:col>
      <xdr:colOff>0</xdr:colOff>
      <xdr:row>1</xdr:row>
      <xdr:rowOff>12220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FF6A0C4E-31AE-D848-B26A-61EF71F6714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" y="0"/>
          <a:ext cx="12562840" cy="736120"/>
        </a:xfrm>
        <a:prstGeom prst="rect">
          <a:avLst/>
        </a:prstGeom>
      </xdr:spPr>
    </xdr:pic>
    <xdr:clientData/>
  </xdr:twoCellAnchor>
  <xdr:oneCellAnchor>
    <xdr:from>
      <xdr:col>10</xdr:col>
      <xdr:colOff>172720</xdr:colOff>
      <xdr:row>0</xdr:row>
      <xdr:rowOff>10160</xdr:rowOff>
    </xdr:from>
    <xdr:ext cx="447040" cy="718466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CA24333E-BD08-8F43-BF3C-C781B14D3448}"/>
            </a:ext>
          </a:extLst>
        </xdr:cNvPr>
        <xdr:cNvSpPr txBox="1"/>
      </xdr:nvSpPr>
      <xdr:spPr>
        <a:xfrm>
          <a:off x="7874000" y="10160"/>
          <a:ext cx="447040" cy="7184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TW" sz="4000">
              <a:solidFill>
                <a:srgbClr val="FFFF00"/>
              </a:solidFill>
            </a:rPr>
            <a:t>9</a:t>
          </a:r>
          <a:endParaRPr lang="zh-TW" altLang="en-US" sz="4000">
            <a:solidFill>
              <a:srgbClr val="FFFF00"/>
            </a:solidFill>
          </a:endParaRPr>
        </a:p>
      </xdr:txBody>
    </xdr:sp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10160</xdr:colOff>
      <xdr:row>0</xdr:row>
      <xdr:rowOff>0</xdr:rowOff>
    </xdr:from>
    <xdr:to>
      <xdr:col>16</xdr:col>
      <xdr:colOff>0</xdr:colOff>
      <xdr:row>1</xdr:row>
      <xdr:rowOff>12220</xdr:rowOff>
    </xdr:to>
    <xdr:pic>
      <xdr:nvPicPr>
        <xdr:cNvPr id="2" name="圖片 1">
          <a:extLst>
            <a:ext uri="{FF2B5EF4-FFF2-40B4-BE49-F238E27FC236}">
              <a16:creationId xmlns:a16="http://schemas.microsoft.com/office/drawing/2014/main" id="{AD2C649C-7AC9-D24B-BEDC-9EA9405FCEA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160" y="0"/>
          <a:ext cx="12562840" cy="736120"/>
        </a:xfrm>
        <a:prstGeom prst="rect">
          <a:avLst/>
        </a:prstGeom>
      </xdr:spPr>
    </xdr:pic>
    <xdr:clientData/>
  </xdr:twoCellAnchor>
  <xdr:oneCellAnchor>
    <xdr:from>
      <xdr:col>10</xdr:col>
      <xdr:colOff>50800</xdr:colOff>
      <xdr:row>0</xdr:row>
      <xdr:rowOff>0</xdr:rowOff>
    </xdr:from>
    <xdr:ext cx="934720" cy="718466"/>
    <xdr:sp macro="" textlink="">
      <xdr:nvSpPr>
        <xdr:cNvPr id="3" name="文字方塊 2">
          <a:extLst>
            <a:ext uri="{FF2B5EF4-FFF2-40B4-BE49-F238E27FC236}">
              <a16:creationId xmlns:a16="http://schemas.microsoft.com/office/drawing/2014/main" id="{877E131B-9535-B74E-A024-E34EA6B7D21D}"/>
            </a:ext>
          </a:extLst>
        </xdr:cNvPr>
        <xdr:cNvSpPr txBox="1"/>
      </xdr:nvSpPr>
      <xdr:spPr>
        <a:xfrm>
          <a:off x="7752080" y="0"/>
          <a:ext cx="934720" cy="71846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r>
            <a:rPr lang="en-US" altLang="zh-TW" sz="4000">
              <a:solidFill>
                <a:srgbClr val="FFFF00"/>
              </a:solidFill>
            </a:rPr>
            <a:t>10</a:t>
          </a:r>
          <a:endParaRPr lang="zh-TW" altLang="en-US" sz="4000">
            <a:solidFill>
              <a:srgbClr val="FFFF00"/>
            </a:solidFill>
          </a:endParaRPr>
        </a:p>
      </xdr:txBody>
    </xdr:sp>
    <xdr:clientData/>
  </xdr:oneCellAnchor>
</xdr:wsDr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DCD9D5-B1F4-B348-91D8-BDC311CB3D9F}">
  <sheetPr>
    <pageSetUpPr fitToPage="1"/>
  </sheetPr>
  <dimension ref="A1:S162"/>
  <sheetViews>
    <sheetView tabSelected="1" zoomScale="138" zoomScaleNormal="189" workbookViewId="0">
      <pane xSplit="2" ySplit="2" topLeftCell="C3" activePane="bottomRight" state="frozen"/>
      <selection pane="topRight" activeCell="C1" sqref="C1"/>
      <selection pane="bottomLeft" activeCell="A2" sqref="A2"/>
      <selection pane="bottomRight" activeCell="R2" sqref="R2"/>
    </sheetView>
  </sheetViews>
  <sheetFormatPr baseColWidth="10" defaultRowHeight="17"/>
  <cols>
    <col min="1" max="2" width="5.83203125" style="18" customWidth="1"/>
    <col min="3" max="3" width="18.33203125" style="18" customWidth="1"/>
    <col min="4" max="4" width="10.6640625" style="18" customWidth="1"/>
    <col min="5" max="5" width="7.5" style="18" customWidth="1"/>
    <col min="6" max="6" width="15.6640625" style="18" bestFit="1" customWidth="1"/>
    <col min="7" max="7" width="5.6640625" style="18" customWidth="1"/>
    <col min="8" max="8" width="8.6640625" style="18" bestFit="1" customWidth="1"/>
    <col min="9" max="11" width="10.83203125" style="2"/>
    <col min="12" max="12" width="4.83203125" style="2" customWidth="1"/>
    <col min="13" max="13" width="10.83203125" style="2"/>
    <col min="14" max="14" width="9" style="2" customWidth="1"/>
    <col min="15" max="15" width="13.6640625" style="2" customWidth="1"/>
    <col min="16" max="16" width="11.6640625" style="2" bestFit="1" customWidth="1"/>
    <col min="17" max="16384" width="10.83203125" style="2"/>
  </cols>
  <sheetData>
    <row r="1" spans="1:19" ht="57" customHeight="1">
      <c r="A1" s="14"/>
      <c r="B1" s="15"/>
      <c r="C1" s="15"/>
      <c r="D1" s="15"/>
      <c r="E1" s="15"/>
      <c r="F1" s="15"/>
      <c r="G1" s="15"/>
      <c r="H1" s="15"/>
      <c r="I1" s="10"/>
      <c r="J1" s="10"/>
      <c r="K1" s="10"/>
      <c r="L1" s="10"/>
      <c r="M1" s="10"/>
      <c r="N1" s="10"/>
      <c r="O1" s="10"/>
      <c r="P1" s="11"/>
    </row>
    <row r="2" spans="1:19" ht="58" customHeight="1">
      <c r="A2" s="19" t="s">
        <v>391</v>
      </c>
      <c r="B2" s="16" t="s">
        <v>0</v>
      </c>
      <c r="C2" s="16" t="s">
        <v>163</v>
      </c>
      <c r="D2" s="16" t="s">
        <v>1</v>
      </c>
      <c r="E2" s="17" t="s">
        <v>162</v>
      </c>
      <c r="F2" s="16" t="s">
        <v>88</v>
      </c>
      <c r="G2" s="17" t="s">
        <v>164</v>
      </c>
      <c r="H2" s="17" t="s">
        <v>165</v>
      </c>
      <c r="I2" s="1" t="s">
        <v>2</v>
      </c>
      <c r="J2" s="1" t="s">
        <v>3</v>
      </c>
      <c r="K2" s="1" t="s">
        <v>4</v>
      </c>
      <c r="L2" s="1" t="s">
        <v>5</v>
      </c>
      <c r="M2" s="1" t="s">
        <v>6</v>
      </c>
      <c r="N2" s="1" t="s">
        <v>90</v>
      </c>
      <c r="O2" s="5" t="s">
        <v>461</v>
      </c>
      <c r="P2" s="1" t="s">
        <v>7</v>
      </c>
      <c r="R2" s="37" t="s">
        <v>453</v>
      </c>
      <c r="S2" s="37" t="s">
        <v>457</v>
      </c>
    </row>
    <row r="3" spans="1:19" ht="17" customHeight="1">
      <c r="A3" s="16">
        <v>1</v>
      </c>
      <c r="B3" s="34">
        <v>1</v>
      </c>
      <c r="C3" s="28" t="s">
        <v>325</v>
      </c>
      <c r="D3" s="16" t="s">
        <v>64</v>
      </c>
      <c r="E3" s="28" t="s">
        <v>198</v>
      </c>
      <c r="F3" s="28" t="s">
        <v>326</v>
      </c>
      <c r="G3" s="16" t="s">
        <v>174</v>
      </c>
      <c r="H3" s="16" t="s">
        <v>170</v>
      </c>
      <c r="I3" s="1">
        <v>146</v>
      </c>
      <c r="J3" s="1">
        <v>143</v>
      </c>
      <c r="K3" s="1">
        <v>100</v>
      </c>
      <c r="L3" s="1"/>
      <c r="M3" s="1">
        <f>SUM(I3:L3)</f>
        <v>389</v>
      </c>
      <c r="N3" s="1" t="s">
        <v>89</v>
      </c>
      <c r="O3" s="1" t="s">
        <v>426</v>
      </c>
      <c r="P3" s="1" t="s">
        <v>386</v>
      </c>
      <c r="Q3" s="2" t="s">
        <v>447</v>
      </c>
    </row>
    <row r="4" spans="1:19" ht="17" customHeight="1">
      <c r="A4" s="16">
        <v>2</v>
      </c>
      <c r="B4" s="34">
        <v>1</v>
      </c>
      <c r="C4" s="29" t="s">
        <v>325</v>
      </c>
      <c r="D4" s="30" t="s">
        <v>327</v>
      </c>
      <c r="E4" s="29"/>
      <c r="F4" s="29" t="s">
        <v>328</v>
      </c>
      <c r="G4" s="30" t="s">
        <v>169</v>
      </c>
      <c r="H4" s="30" t="s">
        <v>175</v>
      </c>
      <c r="I4" s="26">
        <v>68</v>
      </c>
      <c r="J4" s="26">
        <v>63</v>
      </c>
      <c r="K4" s="26">
        <v>84</v>
      </c>
      <c r="L4" s="26">
        <v>36</v>
      </c>
      <c r="M4" s="26">
        <f>SUM(I4:L4)</f>
        <v>251</v>
      </c>
      <c r="N4" s="26" t="s">
        <v>383</v>
      </c>
      <c r="O4" s="1"/>
      <c r="P4" s="36">
        <v>3198</v>
      </c>
      <c r="Q4" s="2" t="s">
        <v>448</v>
      </c>
    </row>
    <row r="5" spans="1:19" ht="17" customHeight="1">
      <c r="A5" s="16">
        <v>3</v>
      </c>
      <c r="B5" s="34">
        <v>1</v>
      </c>
      <c r="C5" s="28" t="s">
        <v>325</v>
      </c>
      <c r="D5" s="16" t="s">
        <v>69</v>
      </c>
      <c r="E5" s="28" t="s">
        <v>198</v>
      </c>
      <c r="F5" s="28" t="s">
        <v>329</v>
      </c>
      <c r="G5" s="16" t="s">
        <v>174</v>
      </c>
      <c r="H5" s="16" t="s">
        <v>170</v>
      </c>
      <c r="I5" s="1">
        <v>124</v>
      </c>
      <c r="J5" s="1">
        <v>128</v>
      </c>
      <c r="K5" s="1">
        <v>119</v>
      </c>
      <c r="L5" s="1"/>
      <c r="M5" s="1">
        <f>SUM(I5:L5)</f>
        <v>371</v>
      </c>
      <c r="N5" s="1" t="s">
        <v>89</v>
      </c>
      <c r="O5" s="1" t="s">
        <v>432</v>
      </c>
      <c r="P5" s="1"/>
      <c r="Q5" s="2" t="s">
        <v>451</v>
      </c>
    </row>
    <row r="6" spans="1:19" ht="17" customHeight="1">
      <c r="A6" s="16">
        <v>4</v>
      </c>
      <c r="B6" s="34">
        <v>1</v>
      </c>
      <c r="C6" s="28"/>
      <c r="D6" s="16"/>
      <c r="E6" s="28"/>
      <c r="F6" s="28"/>
      <c r="G6" s="16"/>
      <c r="H6" s="16"/>
      <c r="I6" s="1"/>
      <c r="J6" s="1"/>
      <c r="K6" s="1"/>
      <c r="L6" s="1"/>
      <c r="M6" s="1"/>
      <c r="N6" s="1"/>
      <c r="O6" s="1"/>
      <c r="P6" s="1"/>
      <c r="Q6" s="2" t="s">
        <v>452</v>
      </c>
    </row>
    <row r="7" spans="1:19" ht="17" customHeight="1">
      <c r="A7" s="16">
        <v>5</v>
      </c>
      <c r="B7" s="34">
        <v>2</v>
      </c>
      <c r="C7" s="29" t="s">
        <v>325</v>
      </c>
      <c r="D7" s="30" t="s">
        <v>74</v>
      </c>
      <c r="E7" s="29" t="s">
        <v>198</v>
      </c>
      <c r="F7" s="29" t="s">
        <v>330</v>
      </c>
      <c r="G7" s="30" t="s">
        <v>169</v>
      </c>
      <c r="H7" s="30" t="s">
        <v>175</v>
      </c>
      <c r="I7" s="26">
        <v>90</v>
      </c>
      <c r="J7" s="26">
        <v>121</v>
      </c>
      <c r="K7" s="26">
        <v>109</v>
      </c>
      <c r="L7" s="26">
        <v>36</v>
      </c>
      <c r="M7" s="26">
        <f t="shared" ref="M7:M13" si="0">SUM(I7:L7)</f>
        <v>356</v>
      </c>
      <c r="N7" s="26" t="s">
        <v>383</v>
      </c>
      <c r="O7" s="1" t="s">
        <v>426</v>
      </c>
      <c r="P7" s="1"/>
    </row>
    <row r="8" spans="1:19" ht="17" customHeight="1">
      <c r="A8" s="16">
        <v>6</v>
      </c>
      <c r="B8" s="34">
        <v>2</v>
      </c>
      <c r="C8" s="28" t="s">
        <v>325</v>
      </c>
      <c r="D8" s="16" t="s">
        <v>67</v>
      </c>
      <c r="E8" s="28"/>
      <c r="F8" s="28" t="s">
        <v>68</v>
      </c>
      <c r="G8" s="16" t="s">
        <v>174</v>
      </c>
      <c r="H8" s="16" t="s">
        <v>170</v>
      </c>
      <c r="I8" s="1">
        <v>140</v>
      </c>
      <c r="J8" s="1">
        <v>142</v>
      </c>
      <c r="K8" s="1">
        <v>119</v>
      </c>
      <c r="L8" s="1"/>
      <c r="M8" s="1">
        <f t="shared" si="0"/>
        <v>401</v>
      </c>
      <c r="N8" s="1" t="s">
        <v>89</v>
      </c>
      <c r="O8" s="1"/>
      <c r="P8" s="1"/>
    </row>
    <row r="9" spans="1:19" ht="17" customHeight="1">
      <c r="A9" s="16">
        <v>7</v>
      </c>
      <c r="B9" s="34">
        <v>2</v>
      </c>
      <c r="C9" s="28" t="s">
        <v>325</v>
      </c>
      <c r="D9" s="16" t="s">
        <v>65</v>
      </c>
      <c r="E9" s="28" t="s">
        <v>171</v>
      </c>
      <c r="F9" s="28" t="s">
        <v>66</v>
      </c>
      <c r="G9" s="16" t="s">
        <v>174</v>
      </c>
      <c r="H9" s="16" t="s">
        <v>170</v>
      </c>
      <c r="I9" s="1">
        <v>71</v>
      </c>
      <c r="J9" s="1">
        <v>116</v>
      </c>
      <c r="K9" s="1">
        <v>111</v>
      </c>
      <c r="L9" s="1"/>
      <c r="M9" s="1">
        <f t="shared" si="0"/>
        <v>298</v>
      </c>
      <c r="N9" s="1" t="s">
        <v>89</v>
      </c>
      <c r="O9" s="1"/>
      <c r="P9" s="1"/>
    </row>
    <row r="10" spans="1:19" ht="17" customHeight="1">
      <c r="A10" s="16">
        <v>8</v>
      </c>
      <c r="B10" s="34">
        <v>2</v>
      </c>
      <c r="C10" s="28" t="s">
        <v>325</v>
      </c>
      <c r="D10" s="16" t="s">
        <v>70</v>
      </c>
      <c r="E10" s="28"/>
      <c r="F10" s="28" t="s">
        <v>71</v>
      </c>
      <c r="G10" s="16" t="s">
        <v>174</v>
      </c>
      <c r="H10" s="16" t="s">
        <v>170</v>
      </c>
      <c r="I10" s="1">
        <v>133</v>
      </c>
      <c r="J10" s="1">
        <v>155</v>
      </c>
      <c r="K10" s="1">
        <v>146</v>
      </c>
      <c r="L10" s="1"/>
      <c r="M10" s="1">
        <f t="shared" si="0"/>
        <v>434</v>
      </c>
      <c r="N10" s="1" t="s">
        <v>89</v>
      </c>
      <c r="O10" s="1" t="s">
        <v>433</v>
      </c>
      <c r="P10" s="1"/>
    </row>
    <row r="11" spans="1:19" ht="17" customHeight="1">
      <c r="A11" s="16">
        <v>9</v>
      </c>
      <c r="B11" s="34">
        <v>3</v>
      </c>
      <c r="C11" s="28" t="s">
        <v>325</v>
      </c>
      <c r="D11" s="16" t="s">
        <v>72</v>
      </c>
      <c r="E11" s="28"/>
      <c r="F11" s="28" t="s">
        <v>73</v>
      </c>
      <c r="G11" s="16" t="s">
        <v>174</v>
      </c>
      <c r="H11" s="16" t="s">
        <v>170</v>
      </c>
      <c r="I11" s="1">
        <v>129</v>
      </c>
      <c r="J11" s="1">
        <v>93</v>
      </c>
      <c r="K11" s="1">
        <v>156</v>
      </c>
      <c r="L11" s="1"/>
      <c r="M11" s="1">
        <f t="shared" si="0"/>
        <v>378</v>
      </c>
      <c r="N11" s="1" t="s">
        <v>89</v>
      </c>
      <c r="O11" s="1"/>
      <c r="P11" s="1"/>
    </row>
    <row r="12" spans="1:19" ht="17" customHeight="1">
      <c r="A12" s="16">
        <v>10</v>
      </c>
      <c r="B12" s="34">
        <v>3</v>
      </c>
      <c r="C12" s="28" t="s">
        <v>331</v>
      </c>
      <c r="D12" s="16" t="s">
        <v>85</v>
      </c>
      <c r="E12" s="28"/>
      <c r="F12" s="28" t="s">
        <v>332</v>
      </c>
      <c r="G12" s="16" t="s">
        <v>174</v>
      </c>
      <c r="H12" s="16" t="s">
        <v>170</v>
      </c>
      <c r="I12" s="1">
        <v>150</v>
      </c>
      <c r="J12" s="1"/>
      <c r="K12" s="1"/>
      <c r="L12" s="1"/>
      <c r="M12" s="1">
        <f t="shared" si="0"/>
        <v>150</v>
      </c>
      <c r="N12" s="1" t="s">
        <v>89</v>
      </c>
      <c r="O12" s="1"/>
      <c r="P12" s="1"/>
    </row>
    <row r="13" spans="1:19" ht="17" customHeight="1">
      <c r="A13" s="16">
        <v>11</v>
      </c>
      <c r="B13" s="34">
        <v>3</v>
      </c>
      <c r="C13" s="28" t="s">
        <v>331</v>
      </c>
      <c r="D13" s="16" t="s">
        <v>86</v>
      </c>
      <c r="E13" s="28"/>
      <c r="F13" s="28" t="s">
        <v>333</v>
      </c>
      <c r="G13" s="16" t="s">
        <v>174</v>
      </c>
      <c r="H13" s="16" t="s">
        <v>170</v>
      </c>
      <c r="I13" s="1">
        <v>118</v>
      </c>
      <c r="J13" s="1">
        <v>104</v>
      </c>
      <c r="K13" s="1"/>
      <c r="L13" s="1"/>
      <c r="M13" s="1">
        <f t="shared" si="0"/>
        <v>222</v>
      </c>
      <c r="N13" s="1" t="s">
        <v>89</v>
      </c>
      <c r="O13" s="1" t="s">
        <v>425</v>
      </c>
      <c r="P13" s="1"/>
    </row>
    <row r="14" spans="1:19" ht="17" customHeight="1">
      <c r="A14" s="16">
        <v>12</v>
      </c>
      <c r="B14" s="34">
        <v>3</v>
      </c>
      <c r="C14" s="28"/>
      <c r="D14" s="16"/>
      <c r="E14" s="28"/>
      <c r="F14" s="28"/>
      <c r="G14" s="16"/>
      <c r="H14" s="16"/>
      <c r="I14" s="1"/>
      <c r="J14" s="1"/>
      <c r="K14" s="1"/>
      <c r="L14" s="1"/>
      <c r="M14" s="1"/>
      <c r="N14" s="1"/>
      <c r="O14" s="1"/>
      <c r="P14" s="1"/>
    </row>
    <row r="15" spans="1:19" ht="17" customHeight="1">
      <c r="A15" s="16">
        <v>13</v>
      </c>
      <c r="B15" s="34">
        <v>4</v>
      </c>
      <c r="C15" s="28" t="s">
        <v>331</v>
      </c>
      <c r="D15" s="16" t="s">
        <v>81</v>
      </c>
      <c r="E15" s="28" t="s">
        <v>198</v>
      </c>
      <c r="F15" s="28" t="s">
        <v>334</v>
      </c>
      <c r="G15" s="16" t="s">
        <v>174</v>
      </c>
      <c r="H15" s="16" t="s">
        <v>170</v>
      </c>
      <c r="I15" s="1">
        <v>127</v>
      </c>
      <c r="J15" s="1">
        <v>117</v>
      </c>
      <c r="K15" s="1">
        <v>100</v>
      </c>
      <c r="L15" s="1"/>
      <c r="M15" s="1">
        <f t="shared" ref="M15:M21" si="1">SUM(I15:L15)</f>
        <v>344</v>
      </c>
      <c r="N15" s="1" t="s">
        <v>89</v>
      </c>
      <c r="O15" s="1"/>
      <c r="P15" s="1"/>
    </row>
    <row r="16" spans="1:19" ht="17" customHeight="1">
      <c r="A16" s="16">
        <v>14</v>
      </c>
      <c r="B16" s="34">
        <v>4</v>
      </c>
      <c r="C16" s="28" t="s">
        <v>331</v>
      </c>
      <c r="D16" s="16" t="s">
        <v>79</v>
      </c>
      <c r="E16" s="28"/>
      <c r="F16" s="28" t="s">
        <v>80</v>
      </c>
      <c r="G16" s="16" t="s">
        <v>174</v>
      </c>
      <c r="H16" s="16" t="s">
        <v>170</v>
      </c>
      <c r="I16" s="1">
        <v>116</v>
      </c>
      <c r="J16" s="1">
        <v>119</v>
      </c>
      <c r="K16" s="1">
        <v>127</v>
      </c>
      <c r="L16" s="1"/>
      <c r="M16" s="1">
        <f t="shared" si="1"/>
        <v>362</v>
      </c>
      <c r="N16" s="1" t="s">
        <v>89</v>
      </c>
      <c r="O16" s="1"/>
      <c r="P16" s="1"/>
    </row>
    <row r="17" spans="1:17" ht="17" customHeight="1">
      <c r="A17" s="16">
        <v>15</v>
      </c>
      <c r="B17" s="34">
        <v>4</v>
      </c>
      <c r="C17" s="28" t="s">
        <v>331</v>
      </c>
      <c r="D17" s="16" t="s">
        <v>78</v>
      </c>
      <c r="E17" s="28"/>
      <c r="F17" s="28" t="s">
        <v>50</v>
      </c>
      <c r="G17" s="16" t="s">
        <v>174</v>
      </c>
      <c r="H17" s="16" t="s">
        <v>170</v>
      </c>
      <c r="I17" s="1">
        <v>151</v>
      </c>
      <c r="J17" s="1">
        <v>132</v>
      </c>
      <c r="K17" s="1">
        <v>190</v>
      </c>
      <c r="L17" s="1"/>
      <c r="M17" s="38">
        <f t="shared" si="1"/>
        <v>473</v>
      </c>
      <c r="N17" s="1" t="s">
        <v>89</v>
      </c>
      <c r="O17" s="1" t="s">
        <v>433</v>
      </c>
      <c r="P17" s="1"/>
    </row>
    <row r="18" spans="1:17" ht="17" customHeight="1">
      <c r="A18" s="33">
        <v>16</v>
      </c>
      <c r="B18" s="34">
        <v>4</v>
      </c>
      <c r="C18" s="28" t="s">
        <v>331</v>
      </c>
      <c r="D18" s="16" t="s">
        <v>77</v>
      </c>
      <c r="E18" s="28" t="s">
        <v>198</v>
      </c>
      <c r="F18" s="28" t="s">
        <v>335</v>
      </c>
      <c r="G18" s="16" t="s">
        <v>174</v>
      </c>
      <c r="H18" s="16" t="s">
        <v>170</v>
      </c>
      <c r="I18" s="1">
        <v>150</v>
      </c>
      <c r="J18" s="1">
        <v>104</v>
      </c>
      <c r="K18" s="1">
        <v>190</v>
      </c>
      <c r="L18" s="1"/>
      <c r="M18" s="38">
        <f t="shared" si="1"/>
        <v>444</v>
      </c>
      <c r="N18" s="1" t="s">
        <v>89</v>
      </c>
      <c r="O18" s="1"/>
      <c r="P18" s="1"/>
    </row>
    <row r="19" spans="1:17" ht="17" customHeight="1">
      <c r="A19" s="16">
        <v>17</v>
      </c>
      <c r="B19" s="34">
        <v>5</v>
      </c>
      <c r="C19" s="28" t="s">
        <v>331</v>
      </c>
      <c r="D19" s="16" t="s">
        <v>336</v>
      </c>
      <c r="E19" s="28"/>
      <c r="F19" s="28" t="s">
        <v>84</v>
      </c>
      <c r="G19" s="16" t="s">
        <v>174</v>
      </c>
      <c r="H19" s="16" t="s">
        <v>170</v>
      </c>
      <c r="I19" s="1">
        <v>107</v>
      </c>
      <c r="J19" s="1">
        <v>111</v>
      </c>
      <c r="K19" s="1">
        <v>116</v>
      </c>
      <c r="L19" s="1"/>
      <c r="M19" s="1">
        <f t="shared" si="1"/>
        <v>334</v>
      </c>
      <c r="N19" s="1" t="s">
        <v>89</v>
      </c>
      <c r="O19" s="1"/>
      <c r="P19" s="1"/>
    </row>
    <row r="20" spans="1:17" ht="17" customHeight="1">
      <c r="A20" s="16">
        <v>18</v>
      </c>
      <c r="B20" s="34">
        <v>5</v>
      </c>
      <c r="C20" s="28" t="s">
        <v>331</v>
      </c>
      <c r="D20" s="16" t="s">
        <v>75</v>
      </c>
      <c r="E20" s="28"/>
      <c r="F20" s="28" t="s">
        <v>76</v>
      </c>
      <c r="G20" s="16" t="s">
        <v>174</v>
      </c>
      <c r="H20" s="16" t="s">
        <v>170</v>
      </c>
      <c r="I20" s="1">
        <v>144</v>
      </c>
      <c r="J20" s="1">
        <v>198</v>
      </c>
      <c r="K20" s="1">
        <v>131</v>
      </c>
      <c r="L20" s="1"/>
      <c r="M20" s="38">
        <f t="shared" si="1"/>
        <v>473</v>
      </c>
      <c r="N20" s="1" t="s">
        <v>89</v>
      </c>
      <c r="O20" s="1" t="s">
        <v>433</v>
      </c>
      <c r="P20" s="1"/>
    </row>
    <row r="21" spans="1:17" ht="17" customHeight="1">
      <c r="A21" s="16">
        <v>19</v>
      </c>
      <c r="B21" s="34">
        <v>5</v>
      </c>
      <c r="C21" s="29" t="s">
        <v>331</v>
      </c>
      <c r="D21" s="30" t="s">
        <v>337</v>
      </c>
      <c r="E21" s="29"/>
      <c r="F21" s="29" t="s">
        <v>338</v>
      </c>
      <c r="G21" s="30" t="s">
        <v>169</v>
      </c>
      <c r="H21" s="30" t="s">
        <v>175</v>
      </c>
      <c r="I21" s="26">
        <v>98</v>
      </c>
      <c r="J21" s="26">
        <v>125</v>
      </c>
      <c r="K21" s="26">
        <v>100</v>
      </c>
      <c r="L21" s="26">
        <v>36</v>
      </c>
      <c r="M21" s="26">
        <f t="shared" si="1"/>
        <v>359</v>
      </c>
      <c r="N21" s="26" t="s">
        <v>383</v>
      </c>
      <c r="O21" s="1"/>
      <c r="P21" s="1"/>
    </row>
    <row r="22" spans="1:17" ht="17" customHeight="1">
      <c r="A22" s="16">
        <v>20</v>
      </c>
      <c r="B22" s="34">
        <v>5</v>
      </c>
      <c r="C22" s="28"/>
      <c r="D22" s="16"/>
      <c r="E22" s="28"/>
      <c r="F22" s="28"/>
      <c r="G22" s="16"/>
      <c r="H22" s="16"/>
      <c r="I22" s="1"/>
      <c r="J22" s="1"/>
      <c r="K22" s="1"/>
      <c r="L22" s="1"/>
      <c r="M22" s="1"/>
      <c r="N22" s="1"/>
      <c r="O22" s="1"/>
      <c r="P22" s="1"/>
    </row>
    <row r="23" spans="1:17" ht="17" customHeight="1">
      <c r="A23" s="16">
        <v>21</v>
      </c>
      <c r="B23" s="34">
        <v>6</v>
      </c>
      <c r="C23" s="29" t="s">
        <v>331</v>
      </c>
      <c r="D23" s="30" t="s">
        <v>87</v>
      </c>
      <c r="E23" s="29"/>
      <c r="F23" s="29" t="s">
        <v>339</v>
      </c>
      <c r="G23" s="30" t="s">
        <v>169</v>
      </c>
      <c r="H23" s="30" t="s">
        <v>175</v>
      </c>
      <c r="I23" s="26">
        <v>83</v>
      </c>
      <c r="J23" s="26">
        <v>88</v>
      </c>
      <c r="K23" s="26">
        <v>97</v>
      </c>
      <c r="L23" s="26">
        <v>36</v>
      </c>
      <c r="M23" s="26">
        <f t="shared" ref="M23:M29" si="2">SUM(I23:L23)</f>
        <v>304</v>
      </c>
      <c r="N23" s="26" t="s">
        <v>383</v>
      </c>
      <c r="O23" s="1"/>
      <c r="P23" s="1"/>
    </row>
    <row r="24" spans="1:17" ht="17" customHeight="1">
      <c r="A24" s="16">
        <v>22</v>
      </c>
      <c r="B24" s="34">
        <v>6</v>
      </c>
      <c r="C24" s="28" t="s">
        <v>331</v>
      </c>
      <c r="D24" s="16" t="s">
        <v>82</v>
      </c>
      <c r="E24" s="28"/>
      <c r="F24" s="28" t="s">
        <v>83</v>
      </c>
      <c r="G24" s="16" t="s">
        <v>174</v>
      </c>
      <c r="H24" s="16" t="s">
        <v>170</v>
      </c>
      <c r="I24" s="1">
        <v>42</v>
      </c>
      <c r="J24" s="1">
        <v>149</v>
      </c>
      <c r="K24" s="1">
        <v>106</v>
      </c>
      <c r="L24" s="1"/>
      <c r="M24" s="1">
        <f t="shared" si="2"/>
        <v>297</v>
      </c>
      <c r="N24" s="1" t="s">
        <v>89</v>
      </c>
      <c r="O24" s="1"/>
      <c r="P24" s="1"/>
    </row>
    <row r="25" spans="1:17" ht="17" customHeight="1">
      <c r="A25" s="16">
        <v>23</v>
      </c>
      <c r="B25" s="34">
        <v>6</v>
      </c>
      <c r="C25" s="29" t="s">
        <v>331</v>
      </c>
      <c r="D25" s="30" t="s">
        <v>340</v>
      </c>
      <c r="E25" s="29"/>
      <c r="F25" s="29" t="s">
        <v>341</v>
      </c>
      <c r="G25" s="30" t="s">
        <v>174</v>
      </c>
      <c r="H25" s="30" t="s">
        <v>228</v>
      </c>
      <c r="I25" s="26">
        <v>96</v>
      </c>
      <c r="J25" s="26">
        <v>78</v>
      </c>
      <c r="K25" s="26">
        <v>124</v>
      </c>
      <c r="L25" s="26"/>
      <c r="M25" s="26">
        <f t="shared" si="2"/>
        <v>298</v>
      </c>
      <c r="N25" s="26" t="s">
        <v>383</v>
      </c>
      <c r="O25" s="1" t="s">
        <v>427</v>
      </c>
      <c r="P25" s="1"/>
    </row>
    <row r="26" spans="1:17" ht="17" customHeight="1">
      <c r="A26" s="16">
        <v>24</v>
      </c>
      <c r="B26" s="34">
        <v>6</v>
      </c>
      <c r="C26" s="28" t="s">
        <v>331</v>
      </c>
      <c r="D26" s="16" t="s">
        <v>342</v>
      </c>
      <c r="E26" s="28" t="s">
        <v>167</v>
      </c>
      <c r="F26" s="28" t="s">
        <v>22</v>
      </c>
      <c r="G26" s="16" t="s">
        <v>174</v>
      </c>
      <c r="H26" s="16" t="s">
        <v>170</v>
      </c>
      <c r="I26" s="1">
        <v>138</v>
      </c>
      <c r="J26" s="1">
        <v>149</v>
      </c>
      <c r="K26" s="1">
        <v>200</v>
      </c>
      <c r="L26" s="1"/>
      <c r="M26" s="38">
        <f t="shared" si="2"/>
        <v>487</v>
      </c>
      <c r="N26" s="1" t="s">
        <v>89</v>
      </c>
      <c r="O26" s="1" t="s">
        <v>433</v>
      </c>
      <c r="P26" s="1"/>
    </row>
    <row r="27" spans="1:17" ht="17" customHeight="1">
      <c r="A27" s="16">
        <v>25</v>
      </c>
      <c r="B27" s="34">
        <v>7</v>
      </c>
      <c r="C27" s="28" t="s">
        <v>343</v>
      </c>
      <c r="D27" s="16" t="s">
        <v>344</v>
      </c>
      <c r="E27" s="28" t="s">
        <v>345</v>
      </c>
      <c r="F27" s="28" t="s">
        <v>32</v>
      </c>
      <c r="G27" s="16" t="s">
        <v>174</v>
      </c>
      <c r="H27" s="16" t="s">
        <v>170</v>
      </c>
      <c r="I27" s="1">
        <v>93</v>
      </c>
      <c r="J27" s="1">
        <v>83</v>
      </c>
      <c r="K27" s="1">
        <v>114</v>
      </c>
      <c r="L27" s="1"/>
      <c r="M27" s="1">
        <f t="shared" si="2"/>
        <v>290</v>
      </c>
      <c r="N27" s="1" t="s">
        <v>89</v>
      </c>
      <c r="O27" s="1"/>
      <c r="P27" s="1"/>
      <c r="Q27" s="2" t="s">
        <v>454</v>
      </c>
    </row>
    <row r="28" spans="1:17" ht="17" customHeight="1">
      <c r="A28" s="16">
        <v>26</v>
      </c>
      <c r="B28" s="34">
        <v>7</v>
      </c>
      <c r="C28" s="28" t="s">
        <v>343</v>
      </c>
      <c r="D28" s="16" t="s">
        <v>346</v>
      </c>
      <c r="E28" s="28"/>
      <c r="F28" s="28" t="s">
        <v>347</v>
      </c>
      <c r="G28" s="16" t="s">
        <v>174</v>
      </c>
      <c r="H28" s="16" t="s">
        <v>170</v>
      </c>
      <c r="I28" s="1">
        <v>93</v>
      </c>
      <c r="J28" s="1">
        <v>111</v>
      </c>
      <c r="K28" s="1">
        <v>113</v>
      </c>
      <c r="L28" s="1"/>
      <c r="M28" s="1">
        <f t="shared" si="2"/>
        <v>317</v>
      </c>
      <c r="N28" s="1" t="s">
        <v>89</v>
      </c>
      <c r="O28" s="1" t="s">
        <v>425</v>
      </c>
      <c r="P28" s="1"/>
      <c r="Q28" s="2" t="s">
        <v>455</v>
      </c>
    </row>
    <row r="29" spans="1:17" ht="17" customHeight="1">
      <c r="A29" s="16">
        <v>27</v>
      </c>
      <c r="B29" s="34">
        <v>7</v>
      </c>
      <c r="C29" s="28" t="s">
        <v>343</v>
      </c>
      <c r="D29" s="16" t="s">
        <v>348</v>
      </c>
      <c r="E29" s="28"/>
      <c r="F29" s="28" t="s">
        <v>349</v>
      </c>
      <c r="G29" s="16" t="s">
        <v>174</v>
      </c>
      <c r="H29" s="16" t="s">
        <v>170</v>
      </c>
      <c r="I29" s="1">
        <v>145</v>
      </c>
      <c r="J29" s="1">
        <v>94</v>
      </c>
      <c r="K29" s="1">
        <v>78</v>
      </c>
      <c r="L29" s="1"/>
      <c r="M29" s="1">
        <f t="shared" si="2"/>
        <v>317</v>
      </c>
      <c r="N29" s="1" t="s">
        <v>89</v>
      </c>
      <c r="O29" s="1" t="s">
        <v>438</v>
      </c>
      <c r="P29" s="1"/>
      <c r="Q29" s="2" t="s">
        <v>456</v>
      </c>
    </row>
    <row r="30" spans="1:17" ht="17" customHeight="1">
      <c r="A30" s="16">
        <v>28</v>
      </c>
      <c r="B30" s="34">
        <v>7</v>
      </c>
      <c r="C30" s="28"/>
      <c r="D30" s="16"/>
      <c r="E30" s="28"/>
      <c r="F30" s="28"/>
      <c r="G30" s="16"/>
      <c r="H30" s="16"/>
      <c r="I30" s="1"/>
      <c r="J30" s="1"/>
      <c r="K30" s="1"/>
      <c r="L30" s="1"/>
      <c r="M30" s="1"/>
      <c r="N30" s="1"/>
      <c r="O30" s="1"/>
      <c r="P30" s="1"/>
      <c r="Q30" s="2" t="s">
        <v>449</v>
      </c>
    </row>
    <row r="31" spans="1:17" ht="17" customHeight="1">
      <c r="A31" s="16">
        <v>29</v>
      </c>
      <c r="B31" s="34">
        <v>8</v>
      </c>
      <c r="C31" s="28" t="s">
        <v>343</v>
      </c>
      <c r="D31" s="16" t="s">
        <v>350</v>
      </c>
      <c r="E31" s="28"/>
      <c r="F31" s="28" t="s">
        <v>351</v>
      </c>
      <c r="G31" s="16" t="s">
        <v>174</v>
      </c>
      <c r="H31" s="16" t="s">
        <v>170</v>
      </c>
      <c r="I31" s="1">
        <v>96</v>
      </c>
      <c r="J31" s="1">
        <v>114</v>
      </c>
      <c r="K31" s="1">
        <v>134</v>
      </c>
      <c r="L31" s="1"/>
      <c r="M31" s="1">
        <f t="shared" ref="M31:M37" si="3">SUM(I31:L31)</f>
        <v>344</v>
      </c>
      <c r="N31" s="1" t="s">
        <v>89</v>
      </c>
      <c r="O31" s="1"/>
      <c r="P31" s="1"/>
    </row>
    <row r="32" spans="1:17" ht="17" customHeight="1">
      <c r="A32" s="16">
        <v>30</v>
      </c>
      <c r="B32" s="34">
        <v>8</v>
      </c>
      <c r="C32" s="28" t="s">
        <v>352</v>
      </c>
      <c r="D32" s="16" t="s">
        <v>353</v>
      </c>
      <c r="E32" s="28"/>
      <c r="F32" s="28" t="s">
        <v>354</v>
      </c>
      <c r="G32" s="16" t="s">
        <v>174</v>
      </c>
      <c r="H32" s="16" t="s">
        <v>170</v>
      </c>
      <c r="I32" s="1">
        <v>118</v>
      </c>
      <c r="J32" s="1">
        <v>161</v>
      </c>
      <c r="K32" s="1">
        <v>82</v>
      </c>
      <c r="L32" s="1"/>
      <c r="M32" s="1">
        <f t="shared" si="3"/>
        <v>361</v>
      </c>
      <c r="N32" s="1" t="s">
        <v>89</v>
      </c>
      <c r="O32" s="1" t="s">
        <v>425</v>
      </c>
      <c r="P32" s="1"/>
    </row>
    <row r="33" spans="1:17" ht="17" customHeight="1">
      <c r="A33" s="16">
        <v>31</v>
      </c>
      <c r="B33" s="34">
        <v>8</v>
      </c>
      <c r="C33" s="28" t="s">
        <v>352</v>
      </c>
      <c r="D33" s="16" t="s">
        <v>355</v>
      </c>
      <c r="E33" s="28"/>
      <c r="F33" s="28" t="s">
        <v>356</v>
      </c>
      <c r="G33" s="16" t="s">
        <v>174</v>
      </c>
      <c r="H33" s="16" t="s">
        <v>170</v>
      </c>
      <c r="I33" s="1">
        <v>127</v>
      </c>
      <c r="J33" s="1">
        <v>82</v>
      </c>
      <c r="K33" s="1">
        <v>129</v>
      </c>
      <c r="L33" s="1"/>
      <c r="M33" s="1">
        <f t="shared" si="3"/>
        <v>338</v>
      </c>
      <c r="N33" s="1" t="s">
        <v>89</v>
      </c>
      <c r="O33" s="1" t="s">
        <v>425</v>
      </c>
      <c r="P33" s="1"/>
    </row>
    <row r="34" spans="1:17" ht="17" customHeight="1">
      <c r="A34" s="16">
        <v>32</v>
      </c>
      <c r="B34" s="34">
        <v>8</v>
      </c>
      <c r="C34" s="28" t="s">
        <v>352</v>
      </c>
      <c r="D34" s="16" t="s">
        <v>357</v>
      </c>
      <c r="E34" s="28"/>
      <c r="F34" s="28" t="s">
        <v>80</v>
      </c>
      <c r="G34" s="16" t="s">
        <v>174</v>
      </c>
      <c r="H34" s="16" t="s">
        <v>170</v>
      </c>
      <c r="I34" s="1">
        <v>91</v>
      </c>
      <c r="J34" s="1">
        <v>96</v>
      </c>
      <c r="K34" s="1">
        <v>96</v>
      </c>
      <c r="L34" s="1"/>
      <c r="M34" s="1">
        <f t="shared" si="3"/>
        <v>283</v>
      </c>
      <c r="N34" s="1" t="s">
        <v>89</v>
      </c>
      <c r="O34" s="1"/>
      <c r="P34" s="1"/>
    </row>
    <row r="35" spans="1:17" ht="17" customHeight="1">
      <c r="A35" s="16">
        <v>33</v>
      </c>
      <c r="B35" s="34">
        <v>9</v>
      </c>
      <c r="C35" s="28" t="s">
        <v>352</v>
      </c>
      <c r="D35" s="16" t="s">
        <v>358</v>
      </c>
      <c r="E35" s="28"/>
      <c r="F35" s="28" t="s">
        <v>359</v>
      </c>
      <c r="G35" s="16" t="s">
        <v>174</v>
      </c>
      <c r="H35" s="16" t="s">
        <v>170</v>
      </c>
      <c r="I35" s="1">
        <v>159</v>
      </c>
      <c r="J35" s="1">
        <v>115</v>
      </c>
      <c r="K35" s="1">
        <v>123</v>
      </c>
      <c r="L35" s="1"/>
      <c r="M35" s="1">
        <f t="shared" si="3"/>
        <v>397</v>
      </c>
      <c r="N35" s="1" t="s">
        <v>89</v>
      </c>
      <c r="O35" s="1" t="s">
        <v>425</v>
      </c>
      <c r="P35" s="1"/>
    </row>
    <row r="36" spans="1:17" ht="17" customHeight="1">
      <c r="A36" s="16">
        <v>34</v>
      </c>
      <c r="B36" s="34">
        <v>9</v>
      </c>
      <c r="C36" s="28" t="s">
        <v>360</v>
      </c>
      <c r="D36" s="16" t="s">
        <v>361</v>
      </c>
      <c r="E36" s="28" t="s">
        <v>178</v>
      </c>
      <c r="F36" s="28" t="s">
        <v>362</v>
      </c>
      <c r="G36" s="16" t="s">
        <v>174</v>
      </c>
      <c r="H36" s="16" t="s">
        <v>170</v>
      </c>
      <c r="I36" s="1"/>
      <c r="J36" s="1">
        <v>96</v>
      </c>
      <c r="K36" s="1">
        <v>112</v>
      </c>
      <c r="L36" s="1"/>
      <c r="M36" s="1">
        <f t="shared" si="3"/>
        <v>208</v>
      </c>
      <c r="N36" s="1" t="s">
        <v>89</v>
      </c>
      <c r="O36" s="1"/>
      <c r="P36" s="1"/>
    </row>
    <row r="37" spans="1:17" ht="17" customHeight="1">
      <c r="A37" s="16">
        <v>35</v>
      </c>
      <c r="B37" s="34">
        <v>9</v>
      </c>
      <c r="C37" s="28" t="s">
        <v>360</v>
      </c>
      <c r="D37" s="16" t="s">
        <v>363</v>
      </c>
      <c r="E37" s="28"/>
      <c r="F37" s="28" t="s">
        <v>41</v>
      </c>
      <c r="G37" s="16" t="s">
        <v>174</v>
      </c>
      <c r="H37" s="16" t="s">
        <v>170</v>
      </c>
      <c r="I37" s="1">
        <v>163</v>
      </c>
      <c r="J37" s="1">
        <v>143</v>
      </c>
      <c r="K37" s="1">
        <v>201</v>
      </c>
      <c r="L37" s="1"/>
      <c r="M37" s="38">
        <f t="shared" si="3"/>
        <v>507</v>
      </c>
      <c r="N37" s="1" t="s">
        <v>89</v>
      </c>
      <c r="O37" s="1" t="s">
        <v>446</v>
      </c>
      <c r="P37" s="1"/>
    </row>
    <row r="38" spans="1:17" ht="17" customHeight="1">
      <c r="A38" s="16">
        <v>36</v>
      </c>
      <c r="B38" s="34">
        <v>9</v>
      </c>
      <c r="C38" s="28"/>
      <c r="D38" s="16"/>
      <c r="E38" s="28"/>
      <c r="F38" s="28"/>
      <c r="G38" s="16"/>
      <c r="H38" s="16"/>
      <c r="I38" s="1"/>
      <c r="J38" s="1"/>
      <c r="K38" s="1"/>
      <c r="L38" s="1"/>
      <c r="M38" s="1"/>
      <c r="N38" s="1"/>
      <c r="O38" s="1"/>
      <c r="P38" s="1"/>
    </row>
    <row r="39" spans="1:17" ht="17" customHeight="1">
      <c r="A39" s="16">
        <v>37</v>
      </c>
      <c r="B39" s="34">
        <v>10</v>
      </c>
      <c r="C39" s="28" t="s">
        <v>360</v>
      </c>
      <c r="D39" s="16" t="s">
        <v>364</v>
      </c>
      <c r="E39" s="28"/>
      <c r="F39" s="28" t="s">
        <v>365</v>
      </c>
      <c r="G39" s="16" t="s">
        <v>174</v>
      </c>
      <c r="H39" s="16" t="s">
        <v>170</v>
      </c>
      <c r="I39" s="1">
        <v>102</v>
      </c>
      <c r="J39" s="1">
        <v>125</v>
      </c>
      <c r="K39" s="1">
        <v>76</v>
      </c>
      <c r="L39" s="1"/>
      <c r="M39" s="1">
        <f t="shared" ref="M39:M75" si="4">SUM(I39:L39)</f>
        <v>303</v>
      </c>
      <c r="N39" s="1" t="s">
        <v>89</v>
      </c>
      <c r="O39" s="1" t="s">
        <v>425</v>
      </c>
      <c r="P39" s="1"/>
    </row>
    <row r="40" spans="1:17" ht="17" customHeight="1">
      <c r="A40" s="16">
        <v>38</v>
      </c>
      <c r="B40" s="34">
        <v>10</v>
      </c>
      <c r="C40" s="29" t="s">
        <v>360</v>
      </c>
      <c r="D40" s="30" t="s">
        <v>366</v>
      </c>
      <c r="E40" s="29"/>
      <c r="F40" s="29" t="s">
        <v>367</v>
      </c>
      <c r="G40" s="30" t="s">
        <v>169</v>
      </c>
      <c r="H40" s="30" t="s">
        <v>175</v>
      </c>
      <c r="I40" s="26">
        <v>120</v>
      </c>
      <c r="J40" s="26">
        <v>115</v>
      </c>
      <c r="K40" s="26">
        <v>88</v>
      </c>
      <c r="L40" s="26">
        <v>36</v>
      </c>
      <c r="M40" s="26">
        <f t="shared" si="4"/>
        <v>359</v>
      </c>
      <c r="N40" s="26" t="s">
        <v>383</v>
      </c>
      <c r="O40" s="1" t="s">
        <v>425</v>
      </c>
      <c r="P40" s="1"/>
      <c r="Q40" s="2" t="s">
        <v>450</v>
      </c>
    </row>
    <row r="41" spans="1:17" ht="17" customHeight="1">
      <c r="A41" s="16">
        <v>39</v>
      </c>
      <c r="B41" s="34">
        <v>10</v>
      </c>
      <c r="C41" s="29" t="s">
        <v>360</v>
      </c>
      <c r="D41" s="30" t="s">
        <v>368</v>
      </c>
      <c r="E41" s="29"/>
      <c r="F41" s="29" t="s">
        <v>184</v>
      </c>
      <c r="G41" s="30" t="s">
        <v>169</v>
      </c>
      <c r="H41" s="30" t="s">
        <v>228</v>
      </c>
      <c r="I41" s="26">
        <v>27</v>
      </c>
      <c r="J41" s="26">
        <v>31</v>
      </c>
      <c r="K41" s="26">
        <v>22</v>
      </c>
      <c r="L41" s="26">
        <v>36</v>
      </c>
      <c r="M41" s="26">
        <f t="shared" si="4"/>
        <v>116</v>
      </c>
      <c r="N41" s="26" t="s">
        <v>383</v>
      </c>
      <c r="O41" s="1" t="s">
        <v>425</v>
      </c>
      <c r="P41" s="1"/>
    </row>
    <row r="42" spans="1:17" ht="17" customHeight="1">
      <c r="A42" s="16">
        <v>40</v>
      </c>
      <c r="B42" s="34">
        <v>10</v>
      </c>
      <c r="C42" s="31" t="s">
        <v>360</v>
      </c>
      <c r="D42" s="32" t="s">
        <v>369</v>
      </c>
      <c r="E42" s="31"/>
      <c r="F42" s="31" t="s">
        <v>370</v>
      </c>
      <c r="G42" s="32" t="s">
        <v>169</v>
      </c>
      <c r="H42" s="32" t="s">
        <v>170</v>
      </c>
      <c r="I42" s="25">
        <v>66</v>
      </c>
      <c r="J42" s="25">
        <v>45</v>
      </c>
      <c r="K42" s="25">
        <v>41</v>
      </c>
      <c r="L42" s="25">
        <v>36</v>
      </c>
      <c r="M42" s="25">
        <f t="shared" si="4"/>
        <v>188</v>
      </c>
      <c r="N42" s="25" t="s">
        <v>94</v>
      </c>
      <c r="O42" s="1"/>
      <c r="P42" s="1"/>
    </row>
    <row r="43" spans="1:17" ht="17" customHeight="1">
      <c r="A43" s="16">
        <v>41</v>
      </c>
      <c r="B43" s="34">
        <v>11</v>
      </c>
      <c r="C43" s="31" t="s">
        <v>360</v>
      </c>
      <c r="D43" s="32" t="s">
        <v>371</v>
      </c>
      <c r="E43" s="31"/>
      <c r="F43" s="31" t="s">
        <v>372</v>
      </c>
      <c r="G43" s="32" t="s">
        <v>169</v>
      </c>
      <c r="H43" s="32" t="s">
        <v>170</v>
      </c>
      <c r="I43" s="25">
        <v>99</v>
      </c>
      <c r="J43" s="25">
        <v>77</v>
      </c>
      <c r="K43" s="25">
        <v>75</v>
      </c>
      <c r="L43" s="25">
        <v>36</v>
      </c>
      <c r="M43" s="25">
        <f t="shared" si="4"/>
        <v>287</v>
      </c>
      <c r="N43" s="25" t="s">
        <v>94</v>
      </c>
      <c r="O43" s="1" t="s">
        <v>435</v>
      </c>
      <c r="P43" s="1"/>
    </row>
    <row r="44" spans="1:17" ht="17" customHeight="1">
      <c r="A44" s="16">
        <v>42</v>
      </c>
      <c r="B44" s="34">
        <v>11</v>
      </c>
      <c r="C44" s="28" t="s">
        <v>360</v>
      </c>
      <c r="D44" s="16" t="s">
        <v>373</v>
      </c>
      <c r="E44" s="28"/>
      <c r="F44" s="28" t="s">
        <v>54</v>
      </c>
      <c r="G44" s="16" t="s">
        <v>174</v>
      </c>
      <c r="H44" s="16" t="s">
        <v>170</v>
      </c>
      <c r="I44" s="1">
        <v>154</v>
      </c>
      <c r="J44" s="1">
        <v>135</v>
      </c>
      <c r="K44" s="1">
        <v>175</v>
      </c>
      <c r="L44" s="1"/>
      <c r="M44" s="38">
        <f t="shared" si="4"/>
        <v>464</v>
      </c>
      <c r="N44" s="1" t="s">
        <v>89</v>
      </c>
      <c r="O44" s="1" t="s">
        <v>442</v>
      </c>
      <c r="P44" s="1"/>
    </row>
    <row r="45" spans="1:17" ht="17" customHeight="1">
      <c r="A45" s="16">
        <v>43</v>
      </c>
      <c r="B45" s="34">
        <v>11</v>
      </c>
      <c r="C45" s="31" t="s">
        <v>360</v>
      </c>
      <c r="D45" s="32" t="s">
        <v>374</v>
      </c>
      <c r="E45" s="31"/>
      <c r="F45" s="31" t="s">
        <v>375</v>
      </c>
      <c r="G45" s="32" t="s">
        <v>169</v>
      </c>
      <c r="H45" s="32" t="s">
        <v>170</v>
      </c>
      <c r="I45" s="25">
        <v>92</v>
      </c>
      <c r="J45" s="25">
        <v>121</v>
      </c>
      <c r="K45" s="25">
        <v>101</v>
      </c>
      <c r="L45" s="25">
        <v>36</v>
      </c>
      <c r="M45" s="39">
        <f t="shared" si="4"/>
        <v>350</v>
      </c>
      <c r="N45" s="25" t="s">
        <v>94</v>
      </c>
      <c r="O45" s="1" t="s">
        <v>435</v>
      </c>
      <c r="P45" s="1"/>
    </row>
    <row r="46" spans="1:17" ht="17" customHeight="1">
      <c r="A46" s="33">
        <v>44</v>
      </c>
      <c r="B46" s="34">
        <v>11</v>
      </c>
      <c r="C46" s="31" t="s">
        <v>417</v>
      </c>
      <c r="D46" s="32" t="s">
        <v>418</v>
      </c>
      <c r="E46" s="31"/>
      <c r="F46" s="31" t="s">
        <v>149</v>
      </c>
      <c r="G46" s="32" t="s">
        <v>169</v>
      </c>
      <c r="H46" s="32" t="s">
        <v>170</v>
      </c>
      <c r="I46" s="25"/>
      <c r="J46" s="25"/>
      <c r="K46" s="25"/>
      <c r="L46" s="25">
        <v>36</v>
      </c>
      <c r="M46" s="25">
        <f t="shared" si="4"/>
        <v>36</v>
      </c>
      <c r="N46" s="25" t="s">
        <v>94</v>
      </c>
      <c r="O46" s="1"/>
      <c r="P46" s="1"/>
    </row>
    <row r="47" spans="1:17" ht="17" customHeight="1">
      <c r="A47" s="16">
        <v>45</v>
      </c>
      <c r="B47" s="34">
        <v>12</v>
      </c>
      <c r="C47" s="28" t="s">
        <v>360</v>
      </c>
      <c r="D47" s="16" t="s">
        <v>376</v>
      </c>
      <c r="E47" s="28"/>
      <c r="F47" s="28" t="s">
        <v>47</v>
      </c>
      <c r="G47" s="16" t="s">
        <v>174</v>
      </c>
      <c r="H47" s="16" t="s">
        <v>170</v>
      </c>
      <c r="I47" s="1">
        <v>76</v>
      </c>
      <c r="J47" s="1">
        <v>88</v>
      </c>
      <c r="K47" s="1">
        <v>111</v>
      </c>
      <c r="L47" s="1"/>
      <c r="M47" s="1">
        <f t="shared" si="4"/>
        <v>275</v>
      </c>
      <c r="N47" s="1" t="s">
        <v>89</v>
      </c>
      <c r="O47" s="1" t="s">
        <v>435</v>
      </c>
      <c r="P47" s="1"/>
    </row>
    <row r="48" spans="1:17" ht="17" customHeight="1">
      <c r="A48" s="16">
        <v>46</v>
      </c>
      <c r="B48" s="34">
        <v>12</v>
      </c>
      <c r="C48" s="31" t="s">
        <v>360</v>
      </c>
      <c r="D48" s="32" t="s">
        <v>377</v>
      </c>
      <c r="E48" s="31"/>
      <c r="F48" s="31" t="s">
        <v>378</v>
      </c>
      <c r="G48" s="32" t="s">
        <v>169</v>
      </c>
      <c r="H48" s="32" t="s">
        <v>170</v>
      </c>
      <c r="I48" s="25">
        <v>67</v>
      </c>
      <c r="J48" s="25">
        <v>84</v>
      </c>
      <c r="K48" s="25">
        <v>107</v>
      </c>
      <c r="L48" s="25">
        <v>36</v>
      </c>
      <c r="M48" s="25">
        <f t="shared" si="4"/>
        <v>294</v>
      </c>
      <c r="N48" s="25" t="s">
        <v>94</v>
      </c>
      <c r="O48" s="1" t="s">
        <v>436</v>
      </c>
      <c r="P48" s="1"/>
    </row>
    <row r="49" spans="1:16" ht="17" customHeight="1">
      <c r="A49" s="16">
        <v>47</v>
      </c>
      <c r="B49" s="34">
        <v>12</v>
      </c>
      <c r="C49" s="28" t="s">
        <v>379</v>
      </c>
      <c r="D49" s="16" t="s">
        <v>380</v>
      </c>
      <c r="E49" s="28" t="s">
        <v>167</v>
      </c>
      <c r="F49" s="28" t="s">
        <v>381</v>
      </c>
      <c r="G49" s="16" t="s">
        <v>174</v>
      </c>
      <c r="H49" s="16" t="s">
        <v>170</v>
      </c>
      <c r="I49" s="1">
        <v>98</v>
      </c>
      <c r="J49" s="1">
        <v>128</v>
      </c>
      <c r="K49" s="1">
        <v>139</v>
      </c>
      <c r="L49" s="1"/>
      <c r="M49" s="1">
        <f t="shared" si="4"/>
        <v>365</v>
      </c>
      <c r="N49" s="1" t="s">
        <v>89</v>
      </c>
      <c r="O49" s="1"/>
      <c r="P49" s="4"/>
    </row>
    <row r="50" spans="1:16" ht="17" customHeight="1">
      <c r="A50" s="16">
        <v>48</v>
      </c>
      <c r="B50" s="34">
        <v>12</v>
      </c>
      <c r="C50" s="28" t="s">
        <v>191</v>
      </c>
      <c r="D50" s="16" t="s">
        <v>192</v>
      </c>
      <c r="E50" s="28" t="s">
        <v>193</v>
      </c>
      <c r="F50" s="28" t="s">
        <v>194</v>
      </c>
      <c r="G50" s="16" t="s">
        <v>174</v>
      </c>
      <c r="H50" s="16" t="s">
        <v>170</v>
      </c>
      <c r="I50" s="1">
        <v>152</v>
      </c>
      <c r="J50" s="1">
        <v>163</v>
      </c>
      <c r="K50" s="1">
        <v>179</v>
      </c>
      <c r="L50" s="1"/>
      <c r="M50" s="1">
        <f t="shared" si="4"/>
        <v>494</v>
      </c>
      <c r="N50" s="1" t="s">
        <v>89</v>
      </c>
      <c r="O50" s="1" t="s">
        <v>445</v>
      </c>
      <c r="P50" s="4"/>
    </row>
    <row r="51" spans="1:16" ht="17" customHeight="1">
      <c r="A51" s="16">
        <v>49</v>
      </c>
      <c r="B51" s="34">
        <v>13</v>
      </c>
      <c r="C51" s="29" t="s">
        <v>191</v>
      </c>
      <c r="D51" s="30" t="s">
        <v>195</v>
      </c>
      <c r="E51" s="29"/>
      <c r="F51" s="29" t="s">
        <v>196</v>
      </c>
      <c r="G51" s="30" t="s">
        <v>169</v>
      </c>
      <c r="H51" s="30" t="s">
        <v>175</v>
      </c>
      <c r="I51" s="26">
        <v>90</v>
      </c>
      <c r="J51" s="26">
        <v>104</v>
      </c>
      <c r="K51" s="26">
        <v>104</v>
      </c>
      <c r="L51" s="26">
        <v>36</v>
      </c>
      <c r="M51" s="26">
        <f t="shared" si="4"/>
        <v>334</v>
      </c>
      <c r="N51" s="26" t="s">
        <v>383</v>
      </c>
      <c r="O51" s="1" t="s">
        <v>444</v>
      </c>
      <c r="P51" s="4"/>
    </row>
    <row r="52" spans="1:16" ht="17" customHeight="1">
      <c r="A52" s="16">
        <v>50</v>
      </c>
      <c r="B52" s="34">
        <v>13</v>
      </c>
      <c r="C52" s="31" t="s">
        <v>191</v>
      </c>
      <c r="D52" s="32" t="s">
        <v>197</v>
      </c>
      <c r="E52" s="31" t="s">
        <v>198</v>
      </c>
      <c r="F52" s="31" t="s">
        <v>199</v>
      </c>
      <c r="G52" s="32" t="s">
        <v>169</v>
      </c>
      <c r="H52" s="32" t="s">
        <v>170</v>
      </c>
      <c r="I52" s="25">
        <v>76</v>
      </c>
      <c r="J52" s="25">
        <v>115</v>
      </c>
      <c r="K52" s="25">
        <v>123</v>
      </c>
      <c r="L52" s="25">
        <v>36</v>
      </c>
      <c r="M52" s="25">
        <f t="shared" si="4"/>
        <v>350</v>
      </c>
      <c r="N52" s="25" t="s">
        <v>94</v>
      </c>
      <c r="O52" s="1"/>
      <c r="P52" s="4"/>
    </row>
    <row r="53" spans="1:16" ht="17" customHeight="1">
      <c r="A53" s="16">
        <v>51</v>
      </c>
      <c r="B53" s="34">
        <v>13</v>
      </c>
      <c r="C53" s="28" t="s">
        <v>200</v>
      </c>
      <c r="D53" s="16" t="s">
        <v>201</v>
      </c>
      <c r="E53" s="28" t="s">
        <v>382</v>
      </c>
      <c r="F53" s="28" t="s">
        <v>202</v>
      </c>
      <c r="G53" s="16" t="s">
        <v>174</v>
      </c>
      <c r="H53" s="16" t="s">
        <v>170</v>
      </c>
      <c r="I53" s="1">
        <v>123</v>
      </c>
      <c r="J53" s="1">
        <v>123</v>
      </c>
      <c r="K53" s="1">
        <v>112</v>
      </c>
      <c r="L53" s="1"/>
      <c r="M53" s="1">
        <f t="shared" si="4"/>
        <v>358</v>
      </c>
      <c r="N53" s="1" t="s">
        <v>89</v>
      </c>
      <c r="O53" s="1"/>
      <c r="P53" s="4"/>
    </row>
    <row r="54" spans="1:16" ht="17" customHeight="1">
      <c r="A54" s="33">
        <v>52</v>
      </c>
      <c r="B54" s="34">
        <v>13</v>
      </c>
      <c r="C54" s="31" t="s">
        <v>413</v>
      </c>
      <c r="D54" s="32" t="s">
        <v>414</v>
      </c>
      <c r="E54" s="31" t="s">
        <v>415</v>
      </c>
      <c r="F54" s="31" t="s">
        <v>416</v>
      </c>
      <c r="G54" s="32" t="s">
        <v>169</v>
      </c>
      <c r="H54" s="32" t="s">
        <v>170</v>
      </c>
      <c r="I54" s="25">
        <v>46</v>
      </c>
      <c r="J54" s="25">
        <v>50</v>
      </c>
      <c r="K54" s="25">
        <v>36</v>
      </c>
      <c r="L54" s="25">
        <v>36</v>
      </c>
      <c r="M54" s="25">
        <f t="shared" si="4"/>
        <v>168</v>
      </c>
      <c r="N54" s="25" t="s">
        <v>94</v>
      </c>
      <c r="O54" s="1"/>
      <c r="P54" s="4"/>
    </row>
    <row r="55" spans="1:16" ht="17" customHeight="1">
      <c r="A55" s="16">
        <v>53</v>
      </c>
      <c r="B55" s="34">
        <v>14</v>
      </c>
      <c r="C55" s="28" t="s">
        <v>200</v>
      </c>
      <c r="D55" s="16" t="s">
        <v>203</v>
      </c>
      <c r="E55" s="28" t="s">
        <v>198</v>
      </c>
      <c r="F55" s="28" t="s">
        <v>204</v>
      </c>
      <c r="G55" s="16" t="s">
        <v>174</v>
      </c>
      <c r="H55" s="16" t="s">
        <v>170</v>
      </c>
      <c r="I55" s="1">
        <v>96</v>
      </c>
      <c r="J55" s="1">
        <v>96</v>
      </c>
      <c r="K55" s="1">
        <v>134</v>
      </c>
      <c r="L55" s="1"/>
      <c r="M55" s="1">
        <f t="shared" si="4"/>
        <v>326</v>
      </c>
      <c r="N55" s="1" t="s">
        <v>89</v>
      </c>
      <c r="O55" s="1"/>
      <c r="P55" s="4"/>
    </row>
    <row r="56" spans="1:16" ht="17" customHeight="1">
      <c r="A56" s="16">
        <v>54</v>
      </c>
      <c r="B56" s="34">
        <v>14</v>
      </c>
      <c r="C56" s="28" t="s">
        <v>205</v>
      </c>
      <c r="D56" s="16" t="s">
        <v>206</v>
      </c>
      <c r="E56" s="28" t="s">
        <v>207</v>
      </c>
      <c r="F56" s="28" t="s">
        <v>208</v>
      </c>
      <c r="G56" s="16" t="s">
        <v>174</v>
      </c>
      <c r="H56" s="16" t="s">
        <v>170</v>
      </c>
      <c r="I56" s="1">
        <v>159</v>
      </c>
      <c r="J56" s="35">
        <v>203</v>
      </c>
      <c r="K56" s="1">
        <v>167</v>
      </c>
      <c r="L56" s="1"/>
      <c r="M56" s="38">
        <f t="shared" si="4"/>
        <v>529</v>
      </c>
      <c r="N56" s="1" t="s">
        <v>89</v>
      </c>
      <c r="O56" s="1" t="s">
        <v>437</v>
      </c>
      <c r="P56" s="22" t="s">
        <v>385</v>
      </c>
    </row>
    <row r="57" spans="1:16" ht="17" customHeight="1">
      <c r="A57" s="16">
        <v>55</v>
      </c>
      <c r="B57" s="34">
        <v>14</v>
      </c>
      <c r="C57" s="28" t="s">
        <v>209</v>
      </c>
      <c r="D57" s="16" t="s">
        <v>20</v>
      </c>
      <c r="E57" s="28" t="s">
        <v>198</v>
      </c>
      <c r="F57" s="28" t="s">
        <v>210</v>
      </c>
      <c r="G57" s="16" t="s">
        <v>174</v>
      </c>
      <c r="H57" s="16" t="s">
        <v>170</v>
      </c>
      <c r="I57" s="1">
        <v>147</v>
      </c>
      <c r="J57" s="1">
        <v>162</v>
      </c>
      <c r="K57" s="1">
        <v>171</v>
      </c>
      <c r="L57" s="1"/>
      <c r="M57" s="38">
        <f t="shared" si="4"/>
        <v>480</v>
      </c>
      <c r="N57" s="1" t="s">
        <v>89</v>
      </c>
      <c r="O57" s="1" t="s">
        <v>437</v>
      </c>
      <c r="P57" s="41">
        <v>2936</v>
      </c>
    </row>
    <row r="58" spans="1:16" ht="17" customHeight="1">
      <c r="A58" s="16">
        <v>56</v>
      </c>
      <c r="B58" s="34">
        <v>14</v>
      </c>
      <c r="C58" s="28" t="s">
        <v>209</v>
      </c>
      <c r="D58" s="16" t="s">
        <v>211</v>
      </c>
      <c r="E58" s="28" t="s">
        <v>198</v>
      </c>
      <c r="F58" s="28" t="s">
        <v>212</v>
      </c>
      <c r="G58" s="16" t="s">
        <v>174</v>
      </c>
      <c r="H58" s="16" t="s">
        <v>170</v>
      </c>
      <c r="I58" s="1">
        <v>141</v>
      </c>
      <c r="J58" s="1">
        <v>139</v>
      </c>
      <c r="K58" s="1">
        <v>109</v>
      </c>
      <c r="L58" s="1"/>
      <c r="M58" s="38">
        <f t="shared" si="4"/>
        <v>389</v>
      </c>
      <c r="N58" s="1" t="s">
        <v>89</v>
      </c>
      <c r="O58" s="1"/>
      <c r="P58" s="3"/>
    </row>
    <row r="59" spans="1:16" ht="17" customHeight="1">
      <c r="A59" s="16">
        <v>57</v>
      </c>
      <c r="B59" s="34">
        <v>15</v>
      </c>
      <c r="C59" s="28" t="s">
        <v>209</v>
      </c>
      <c r="D59" s="16" t="s">
        <v>21</v>
      </c>
      <c r="E59" s="28" t="s">
        <v>198</v>
      </c>
      <c r="F59" s="28" t="s">
        <v>213</v>
      </c>
      <c r="G59" s="16" t="s">
        <v>174</v>
      </c>
      <c r="H59" s="16" t="s">
        <v>170</v>
      </c>
      <c r="I59" s="1">
        <v>126</v>
      </c>
      <c r="J59" s="1">
        <v>133</v>
      </c>
      <c r="K59" s="1">
        <v>134</v>
      </c>
      <c r="L59" s="1"/>
      <c r="M59" s="38">
        <f t="shared" si="4"/>
        <v>393</v>
      </c>
      <c r="N59" s="1" t="s">
        <v>89</v>
      </c>
      <c r="O59" s="1"/>
      <c r="P59" s="3"/>
    </row>
    <row r="60" spans="1:16" ht="17" customHeight="1">
      <c r="A60" s="16">
        <v>58</v>
      </c>
      <c r="B60" s="34">
        <v>15</v>
      </c>
      <c r="C60" s="31" t="s">
        <v>209</v>
      </c>
      <c r="D60" s="32" t="s">
        <v>214</v>
      </c>
      <c r="E60" s="31"/>
      <c r="F60" s="31" t="s">
        <v>215</v>
      </c>
      <c r="G60" s="32" t="s">
        <v>169</v>
      </c>
      <c r="H60" s="32" t="s">
        <v>170</v>
      </c>
      <c r="I60" s="25">
        <v>106</v>
      </c>
      <c r="J60" s="25">
        <v>96</v>
      </c>
      <c r="K60" s="25">
        <v>66</v>
      </c>
      <c r="L60" s="25">
        <v>36</v>
      </c>
      <c r="M60" s="39">
        <f t="shared" si="4"/>
        <v>304</v>
      </c>
      <c r="N60" s="25" t="s">
        <v>94</v>
      </c>
      <c r="O60" s="1"/>
      <c r="P60" s="3"/>
    </row>
    <row r="61" spans="1:16" ht="17" customHeight="1">
      <c r="A61" s="16">
        <v>59</v>
      </c>
      <c r="B61" s="34">
        <v>15</v>
      </c>
      <c r="C61" s="28" t="s">
        <v>209</v>
      </c>
      <c r="D61" s="16" t="s">
        <v>216</v>
      </c>
      <c r="E61" s="28"/>
      <c r="F61" s="28" t="s">
        <v>217</v>
      </c>
      <c r="G61" s="16" t="s">
        <v>174</v>
      </c>
      <c r="H61" s="16" t="s">
        <v>170</v>
      </c>
      <c r="I61" s="1">
        <v>74</v>
      </c>
      <c r="J61" s="1">
        <v>85</v>
      </c>
      <c r="K61" s="1">
        <v>93</v>
      </c>
      <c r="L61" s="1"/>
      <c r="M61" s="1">
        <f t="shared" si="4"/>
        <v>252</v>
      </c>
      <c r="N61" s="1" t="s">
        <v>89</v>
      </c>
      <c r="O61" s="1"/>
      <c r="P61" s="3"/>
    </row>
    <row r="62" spans="1:16" ht="17" customHeight="1">
      <c r="A62" s="33">
        <v>60</v>
      </c>
      <c r="B62" s="34">
        <v>15</v>
      </c>
      <c r="C62" s="28" t="s">
        <v>410</v>
      </c>
      <c r="D62" s="16" t="s">
        <v>411</v>
      </c>
      <c r="E62" s="28" t="s">
        <v>404</v>
      </c>
      <c r="F62" s="28" t="s">
        <v>412</v>
      </c>
      <c r="G62" s="16" t="s">
        <v>174</v>
      </c>
      <c r="H62" s="16" t="s">
        <v>170</v>
      </c>
      <c r="I62" s="1">
        <v>114</v>
      </c>
      <c r="J62" s="1">
        <v>83</v>
      </c>
      <c r="K62" s="1">
        <v>122</v>
      </c>
      <c r="L62" s="1"/>
      <c r="M62" s="1">
        <f t="shared" si="4"/>
        <v>319</v>
      </c>
      <c r="N62" s="1" t="s">
        <v>89</v>
      </c>
      <c r="O62" s="1"/>
      <c r="P62" s="3"/>
    </row>
    <row r="63" spans="1:16" ht="17" customHeight="1">
      <c r="A63" s="16">
        <v>61</v>
      </c>
      <c r="B63" s="34">
        <v>16</v>
      </c>
      <c r="C63" s="31" t="s">
        <v>209</v>
      </c>
      <c r="D63" s="32" t="s">
        <v>218</v>
      </c>
      <c r="E63" s="31"/>
      <c r="F63" s="31" t="s">
        <v>43</v>
      </c>
      <c r="G63" s="32" t="s">
        <v>169</v>
      </c>
      <c r="H63" s="32" t="s">
        <v>170</v>
      </c>
      <c r="I63" s="25">
        <v>91</v>
      </c>
      <c r="J63" s="25">
        <v>73</v>
      </c>
      <c r="K63" s="25">
        <v>74</v>
      </c>
      <c r="L63" s="25">
        <v>36</v>
      </c>
      <c r="M63" s="25">
        <f t="shared" si="4"/>
        <v>274</v>
      </c>
      <c r="N63" s="25" t="s">
        <v>94</v>
      </c>
      <c r="O63" s="1" t="s">
        <v>425</v>
      </c>
      <c r="P63" s="3"/>
    </row>
    <row r="64" spans="1:16" ht="17" customHeight="1">
      <c r="A64" s="16">
        <v>62</v>
      </c>
      <c r="B64" s="34">
        <v>16</v>
      </c>
      <c r="C64" s="28" t="s">
        <v>219</v>
      </c>
      <c r="D64" s="16" t="s">
        <v>220</v>
      </c>
      <c r="E64" s="28" t="s">
        <v>221</v>
      </c>
      <c r="F64" s="28" t="s">
        <v>34</v>
      </c>
      <c r="G64" s="16" t="s">
        <v>174</v>
      </c>
      <c r="H64" s="16" t="s">
        <v>170</v>
      </c>
      <c r="I64" s="1">
        <v>40</v>
      </c>
      <c r="J64" s="1">
        <v>61</v>
      </c>
      <c r="K64" s="1">
        <v>48</v>
      </c>
      <c r="L64" s="1"/>
      <c r="M64" s="1">
        <f t="shared" si="4"/>
        <v>149</v>
      </c>
      <c r="N64" s="1" t="s">
        <v>89</v>
      </c>
      <c r="O64" s="1"/>
      <c r="P64" s="3"/>
    </row>
    <row r="65" spans="1:17" ht="17" customHeight="1">
      <c r="A65" s="16">
        <v>63</v>
      </c>
      <c r="B65" s="34">
        <v>16</v>
      </c>
      <c r="C65" s="28" t="s">
        <v>219</v>
      </c>
      <c r="D65" s="16" t="s">
        <v>222</v>
      </c>
      <c r="E65" s="28" t="s">
        <v>198</v>
      </c>
      <c r="F65" s="28" t="s">
        <v>223</v>
      </c>
      <c r="G65" s="16" t="s">
        <v>174</v>
      </c>
      <c r="H65" s="16" t="s">
        <v>170</v>
      </c>
      <c r="I65" s="1">
        <v>134</v>
      </c>
      <c r="J65" s="1">
        <v>93</v>
      </c>
      <c r="K65" s="1">
        <v>123</v>
      </c>
      <c r="L65" s="1"/>
      <c r="M65" s="1">
        <f t="shared" si="4"/>
        <v>350</v>
      </c>
      <c r="N65" s="1" t="s">
        <v>89</v>
      </c>
      <c r="O65" s="1"/>
      <c r="P65" s="3"/>
    </row>
    <row r="66" spans="1:17" ht="17" customHeight="1">
      <c r="A66" s="16">
        <v>64</v>
      </c>
      <c r="B66" s="34">
        <v>16</v>
      </c>
      <c r="C66" s="29" t="s">
        <v>219</v>
      </c>
      <c r="D66" s="30" t="s">
        <v>224</v>
      </c>
      <c r="E66" s="29"/>
      <c r="F66" s="29" t="s">
        <v>225</v>
      </c>
      <c r="G66" s="30" t="s">
        <v>169</v>
      </c>
      <c r="H66" s="30" t="s">
        <v>175</v>
      </c>
      <c r="I66" s="26">
        <v>21</v>
      </c>
      <c r="J66" s="26">
        <v>70</v>
      </c>
      <c r="K66" s="26">
        <v>65</v>
      </c>
      <c r="L66" s="26">
        <v>36</v>
      </c>
      <c r="M66" s="26">
        <f t="shared" si="4"/>
        <v>192</v>
      </c>
      <c r="N66" s="26" t="s">
        <v>383</v>
      </c>
      <c r="O66" s="1"/>
      <c r="P66" s="3"/>
    </row>
    <row r="67" spans="1:17" ht="17" customHeight="1">
      <c r="A67" s="33">
        <v>65</v>
      </c>
      <c r="B67" s="34">
        <v>17</v>
      </c>
      <c r="C67" s="29" t="s">
        <v>219</v>
      </c>
      <c r="D67" s="30" t="s">
        <v>226</v>
      </c>
      <c r="E67" s="29"/>
      <c r="F67" s="29" t="s">
        <v>430</v>
      </c>
      <c r="G67" s="30" t="s">
        <v>429</v>
      </c>
      <c r="H67" s="30" t="s">
        <v>228</v>
      </c>
      <c r="I67" s="26">
        <v>172</v>
      </c>
      <c r="J67" s="26">
        <v>194</v>
      </c>
      <c r="K67" s="26">
        <v>139</v>
      </c>
      <c r="L67" s="26"/>
      <c r="M67" s="26">
        <f t="shared" si="4"/>
        <v>505</v>
      </c>
      <c r="N67" s="26" t="s">
        <v>383</v>
      </c>
      <c r="O67" s="1"/>
      <c r="P67" s="3" t="s">
        <v>431</v>
      </c>
    </row>
    <row r="68" spans="1:17" ht="17" customHeight="1">
      <c r="A68" s="16">
        <v>66</v>
      </c>
      <c r="B68" s="34">
        <v>17</v>
      </c>
      <c r="C68" s="28" t="s">
        <v>219</v>
      </c>
      <c r="D68" s="16" t="s">
        <v>229</v>
      </c>
      <c r="E68" s="28"/>
      <c r="F68" s="28" t="s">
        <v>47</v>
      </c>
      <c r="G68" s="16" t="s">
        <v>174</v>
      </c>
      <c r="H68" s="16" t="s">
        <v>170</v>
      </c>
      <c r="I68" s="1">
        <v>125</v>
      </c>
      <c r="J68" s="1">
        <v>135</v>
      </c>
      <c r="K68" s="1">
        <v>153</v>
      </c>
      <c r="L68" s="1"/>
      <c r="M68" s="38">
        <f t="shared" si="4"/>
        <v>413</v>
      </c>
      <c r="N68" s="1" t="s">
        <v>89</v>
      </c>
      <c r="O68" s="1" t="s">
        <v>425</v>
      </c>
      <c r="P68" s="3"/>
    </row>
    <row r="69" spans="1:17" ht="17" customHeight="1">
      <c r="A69" s="16">
        <v>67</v>
      </c>
      <c r="B69" s="34">
        <v>17</v>
      </c>
      <c r="C69" s="28" t="s">
        <v>219</v>
      </c>
      <c r="D69" s="16" t="s">
        <v>230</v>
      </c>
      <c r="E69" s="28"/>
      <c r="F69" s="28" t="s">
        <v>231</v>
      </c>
      <c r="G69" s="16" t="s">
        <v>174</v>
      </c>
      <c r="H69" s="16" t="s">
        <v>170</v>
      </c>
      <c r="I69" s="1">
        <v>156</v>
      </c>
      <c r="J69" s="1">
        <v>140</v>
      </c>
      <c r="K69" s="1">
        <v>132</v>
      </c>
      <c r="L69" s="1"/>
      <c r="M69" s="38">
        <f t="shared" si="4"/>
        <v>428</v>
      </c>
      <c r="N69" s="1" t="s">
        <v>89</v>
      </c>
      <c r="O69" s="1" t="s">
        <v>426</v>
      </c>
      <c r="P69" s="3"/>
    </row>
    <row r="70" spans="1:17" ht="17" customHeight="1">
      <c r="A70" s="33">
        <v>68</v>
      </c>
      <c r="B70" s="34">
        <v>17</v>
      </c>
      <c r="C70" s="28" t="s">
        <v>417</v>
      </c>
      <c r="D70" s="16" t="s">
        <v>419</v>
      </c>
      <c r="E70" s="28"/>
      <c r="F70" s="28"/>
      <c r="G70" s="16" t="s">
        <v>174</v>
      </c>
      <c r="H70" s="16" t="s">
        <v>170</v>
      </c>
      <c r="I70" s="1">
        <v>105</v>
      </c>
      <c r="J70" s="1">
        <v>106</v>
      </c>
      <c r="K70" s="1">
        <v>117</v>
      </c>
      <c r="L70" s="1"/>
      <c r="M70" s="1">
        <f t="shared" si="4"/>
        <v>328</v>
      </c>
      <c r="N70" s="1" t="s">
        <v>89</v>
      </c>
      <c r="O70" s="1"/>
      <c r="P70" s="3"/>
    </row>
    <row r="71" spans="1:17" ht="17" customHeight="1">
      <c r="A71" s="16">
        <v>69</v>
      </c>
      <c r="B71" s="34">
        <v>18</v>
      </c>
      <c r="C71" s="28" t="s">
        <v>285</v>
      </c>
      <c r="D71" s="16" t="s">
        <v>53</v>
      </c>
      <c r="E71" s="28" t="s">
        <v>193</v>
      </c>
      <c r="F71" s="28" t="s">
        <v>213</v>
      </c>
      <c r="G71" s="16" t="s">
        <v>174</v>
      </c>
      <c r="H71" s="16" t="s">
        <v>170</v>
      </c>
      <c r="I71" s="1">
        <v>160</v>
      </c>
      <c r="J71" s="1">
        <v>94</v>
      </c>
      <c r="K71" s="1">
        <v>148</v>
      </c>
      <c r="L71" s="1"/>
      <c r="M71" s="1">
        <f t="shared" si="4"/>
        <v>402</v>
      </c>
      <c r="N71" s="1" t="s">
        <v>89</v>
      </c>
      <c r="O71" s="1" t="s">
        <v>426</v>
      </c>
      <c r="P71" s="22" t="s">
        <v>407</v>
      </c>
    </row>
    <row r="72" spans="1:17" ht="17" customHeight="1">
      <c r="A72" s="16">
        <v>70</v>
      </c>
      <c r="B72" s="34">
        <v>18</v>
      </c>
      <c r="C72" s="31" t="s">
        <v>285</v>
      </c>
      <c r="D72" s="32" t="s">
        <v>286</v>
      </c>
      <c r="E72" s="31"/>
      <c r="F72" s="31" t="s">
        <v>287</v>
      </c>
      <c r="G72" s="32" t="s">
        <v>169</v>
      </c>
      <c r="H72" s="32" t="s">
        <v>170</v>
      </c>
      <c r="I72" s="25">
        <v>110</v>
      </c>
      <c r="J72" s="25">
        <v>75</v>
      </c>
      <c r="K72" s="25">
        <v>90</v>
      </c>
      <c r="L72" s="25">
        <v>36</v>
      </c>
      <c r="M72" s="25">
        <f t="shared" si="4"/>
        <v>311</v>
      </c>
      <c r="N72" s="25" t="s">
        <v>94</v>
      </c>
      <c r="O72" s="1" t="s">
        <v>426</v>
      </c>
      <c r="P72" s="36">
        <v>1870</v>
      </c>
    </row>
    <row r="73" spans="1:17" ht="17" customHeight="1">
      <c r="A73" s="16">
        <v>71</v>
      </c>
      <c r="B73" s="34">
        <v>18</v>
      </c>
      <c r="C73" s="28" t="s">
        <v>288</v>
      </c>
      <c r="D73" s="16" t="s">
        <v>289</v>
      </c>
      <c r="E73" s="28" t="s">
        <v>178</v>
      </c>
      <c r="F73" s="28" t="s">
        <v>48</v>
      </c>
      <c r="G73" s="16" t="s">
        <v>174</v>
      </c>
      <c r="H73" s="16" t="s">
        <v>170</v>
      </c>
      <c r="I73" s="1">
        <v>116</v>
      </c>
      <c r="J73" s="1">
        <v>101</v>
      </c>
      <c r="K73" s="1">
        <v>90</v>
      </c>
      <c r="L73" s="1"/>
      <c r="M73" s="1">
        <f t="shared" si="4"/>
        <v>307</v>
      </c>
      <c r="N73" s="1" t="s">
        <v>89</v>
      </c>
      <c r="O73" s="1"/>
      <c r="P73" s="1"/>
      <c r="Q73" s="2" t="s">
        <v>458</v>
      </c>
    </row>
    <row r="74" spans="1:17" ht="17" customHeight="1">
      <c r="A74" s="33">
        <v>72</v>
      </c>
      <c r="B74" s="34">
        <v>18</v>
      </c>
      <c r="C74" s="28" t="s">
        <v>288</v>
      </c>
      <c r="D74" s="16" t="s">
        <v>422</v>
      </c>
      <c r="E74" s="28" t="s">
        <v>423</v>
      </c>
      <c r="F74" s="28" t="s">
        <v>424</v>
      </c>
      <c r="G74" s="16" t="s">
        <v>174</v>
      </c>
      <c r="H74" s="16" t="s">
        <v>170</v>
      </c>
      <c r="I74" s="1">
        <v>92</v>
      </c>
      <c r="J74" s="1">
        <v>93</v>
      </c>
      <c r="K74" s="1">
        <v>136</v>
      </c>
      <c r="L74" s="1"/>
      <c r="M74" s="1">
        <f t="shared" si="4"/>
        <v>321</v>
      </c>
      <c r="N74" s="1" t="s">
        <v>89</v>
      </c>
      <c r="O74" s="1"/>
      <c r="P74" s="1"/>
      <c r="Q74" s="2" t="s">
        <v>458</v>
      </c>
    </row>
    <row r="75" spans="1:17" ht="17" customHeight="1">
      <c r="A75" s="16">
        <v>73</v>
      </c>
      <c r="B75" s="34">
        <v>19</v>
      </c>
      <c r="C75" s="28" t="s">
        <v>288</v>
      </c>
      <c r="D75" s="16" t="s">
        <v>292</v>
      </c>
      <c r="E75" s="28"/>
      <c r="F75" s="28" t="s">
        <v>293</v>
      </c>
      <c r="G75" s="16" t="s">
        <v>174</v>
      </c>
      <c r="H75" s="16" t="s">
        <v>170</v>
      </c>
      <c r="I75" s="1">
        <v>87</v>
      </c>
      <c r="J75" s="1">
        <v>91</v>
      </c>
      <c r="K75" s="1">
        <v>84</v>
      </c>
      <c r="L75" s="1"/>
      <c r="M75" s="1">
        <f t="shared" si="4"/>
        <v>262</v>
      </c>
      <c r="N75" s="1" t="s">
        <v>89</v>
      </c>
      <c r="O75" s="1" t="s">
        <v>425</v>
      </c>
      <c r="P75" s="1"/>
      <c r="Q75" s="2" t="s">
        <v>459</v>
      </c>
    </row>
    <row r="76" spans="1:17" ht="17" customHeight="1">
      <c r="A76" s="33">
        <v>74</v>
      </c>
      <c r="B76" s="34">
        <v>19</v>
      </c>
      <c r="C76" s="28"/>
      <c r="D76" s="16"/>
      <c r="E76" s="28"/>
      <c r="F76" s="28"/>
      <c r="G76" s="16"/>
      <c r="H76" s="16"/>
      <c r="I76" s="1"/>
      <c r="J76" s="1"/>
      <c r="K76" s="1"/>
      <c r="L76" s="1"/>
      <c r="M76" s="1"/>
      <c r="N76" s="1"/>
      <c r="O76" s="1"/>
      <c r="P76" s="1"/>
    </row>
    <row r="77" spans="1:17" ht="17" customHeight="1">
      <c r="A77" s="16">
        <v>75</v>
      </c>
      <c r="B77" s="34">
        <v>19</v>
      </c>
      <c r="C77" s="31" t="s">
        <v>268</v>
      </c>
      <c r="D77" s="32" t="s">
        <v>269</v>
      </c>
      <c r="E77" s="31" t="s">
        <v>178</v>
      </c>
      <c r="F77" s="31" t="s">
        <v>270</v>
      </c>
      <c r="G77" s="32" t="s">
        <v>169</v>
      </c>
      <c r="H77" s="32" t="s">
        <v>170</v>
      </c>
      <c r="I77" s="25">
        <v>155</v>
      </c>
      <c r="J77" s="25">
        <v>141</v>
      </c>
      <c r="K77" s="25">
        <v>196</v>
      </c>
      <c r="L77" s="25">
        <v>36</v>
      </c>
      <c r="M77" s="39">
        <f t="shared" ref="M77:M85" si="5">SUM(I77:L77)</f>
        <v>528</v>
      </c>
      <c r="N77" s="25" t="s">
        <v>94</v>
      </c>
      <c r="O77" s="1" t="s">
        <v>433</v>
      </c>
      <c r="P77" s="22"/>
    </row>
    <row r="78" spans="1:17" ht="17" customHeight="1">
      <c r="A78" s="33">
        <v>76</v>
      </c>
      <c r="B78" s="34">
        <v>19</v>
      </c>
      <c r="C78" s="28" t="s">
        <v>288</v>
      </c>
      <c r="D78" s="16" t="s">
        <v>406</v>
      </c>
      <c r="E78" s="28"/>
      <c r="F78" s="28" t="s">
        <v>80</v>
      </c>
      <c r="G78" s="16" t="s">
        <v>174</v>
      </c>
      <c r="H78" s="16" t="s">
        <v>170</v>
      </c>
      <c r="I78" s="1">
        <v>137</v>
      </c>
      <c r="J78" s="1">
        <v>75</v>
      </c>
      <c r="K78" s="1">
        <v>55</v>
      </c>
      <c r="L78" s="1"/>
      <c r="M78" s="1">
        <f t="shared" si="5"/>
        <v>267</v>
      </c>
      <c r="N78" s="1" t="s">
        <v>89</v>
      </c>
      <c r="O78" s="1" t="s">
        <v>437</v>
      </c>
      <c r="P78" s="22"/>
    </row>
    <row r="79" spans="1:17" ht="17" customHeight="1">
      <c r="A79" s="16">
        <v>77</v>
      </c>
      <c r="B79" s="34">
        <v>20</v>
      </c>
      <c r="C79" s="29" t="s">
        <v>268</v>
      </c>
      <c r="D79" s="30" t="s">
        <v>271</v>
      </c>
      <c r="E79" s="29"/>
      <c r="F79" s="29" t="s">
        <v>14</v>
      </c>
      <c r="G79" s="30" t="s">
        <v>174</v>
      </c>
      <c r="H79" s="30" t="s">
        <v>175</v>
      </c>
      <c r="I79" s="26">
        <v>110</v>
      </c>
      <c r="J79" s="26">
        <v>97</v>
      </c>
      <c r="K79" s="26">
        <v>127</v>
      </c>
      <c r="L79" s="26"/>
      <c r="M79" s="26">
        <f t="shared" si="5"/>
        <v>334</v>
      </c>
      <c r="N79" s="26" t="s">
        <v>383</v>
      </c>
      <c r="O79" s="1"/>
      <c r="P79" s="22" t="s">
        <v>387</v>
      </c>
    </row>
    <row r="80" spans="1:17" ht="17" customHeight="1">
      <c r="A80" s="16">
        <v>78</v>
      </c>
      <c r="B80" s="34">
        <v>20</v>
      </c>
      <c r="C80" s="28" t="s">
        <v>272</v>
      </c>
      <c r="D80" s="16" t="s">
        <v>42</v>
      </c>
      <c r="E80" s="28" t="s">
        <v>198</v>
      </c>
      <c r="F80" s="28" t="s">
        <v>273</v>
      </c>
      <c r="G80" s="16" t="s">
        <v>174</v>
      </c>
      <c r="H80" s="16" t="s">
        <v>170</v>
      </c>
      <c r="I80" s="1">
        <v>162</v>
      </c>
      <c r="J80" s="1">
        <v>187</v>
      </c>
      <c r="K80" s="1">
        <v>156</v>
      </c>
      <c r="L80" s="1"/>
      <c r="M80" s="38">
        <f t="shared" si="5"/>
        <v>505</v>
      </c>
      <c r="N80" s="1" t="s">
        <v>89</v>
      </c>
      <c r="O80" s="1" t="s">
        <v>439</v>
      </c>
      <c r="P80" s="40">
        <v>3154</v>
      </c>
    </row>
    <row r="81" spans="1:16" ht="17" customHeight="1">
      <c r="A81" s="16">
        <v>79</v>
      </c>
      <c r="B81" s="34">
        <v>20</v>
      </c>
      <c r="C81" s="28" t="s">
        <v>274</v>
      </c>
      <c r="D81" s="16" t="s">
        <v>275</v>
      </c>
      <c r="E81" s="28" t="s">
        <v>207</v>
      </c>
      <c r="F81" s="28" t="s">
        <v>66</v>
      </c>
      <c r="G81" s="16" t="s">
        <v>174</v>
      </c>
      <c r="H81" s="16" t="s">
        <v>170</v>
      </c>
      <c r="I81" s="1">
        <v>143</v>
      </c>
      <c r="J81" s="1">
        <v>146</v>
      </c>
      <c r="K81" s="1">
        <v>133</v>
      </c>
      <c r="L81" s="1"/>
      <c r="M81" s="38">
        <f t="shared" si="5"/>
        <v>422</v>
      </c>
      <c r="N81" s="1" t="s">
        <v>89</v>
      </c>
      <c r="O81" s="1" t="s">
        <v>425</v>
      </c>
      <c r="P81" s="1"/>
    </row>
    <row r="82" spans="1:16" ht="17" customHeight="1">
      <c r="A82" s="16">
        <v>80</v>
      </c>
      <c r="B82" s="34">
        <v>20</v>
      </c>
      <c r="C82" s="28" t="s">
        <v>274</v>
      </c>
      <c r="D82" s="16" t="s">
        <v>44</v>
      </c>
      <c r="E82" s="28" t="s">
        <v>167</v>
      </c>
      <c r="F82" s="28" t="s">
        <v>276</v>
      </c>
      <c r="G82" s="16" t="s">
        <v>174</v>
      </c>
      <c r="H82" s="16" t="s">
        <v>170</v>
      </c>
      <c r="I82" s="1">
        <v>123</v>
      </c>
      <c r="J82" s="1">
        <v>180</v>
      </c>
      <c r="K82" s="1">
        <v>140</v>
      </c>
      <c r="L82" s="1"/>
      <c r="M82" s="38">
        <f t="shared" si="5"/>
        <v>443</v>
      </c>
      <c r="N82" s="1" t="s">
        <v>89</v>
      </c>
      <c r="O82" s="1"/>
      <c r="P82" s="1"/>
    </row>
    <row r="83" spans="1:16" ht="17" customHeight="1">
      <c r="A83" s="16">
        <v>81</v>
      </c>
      <c r="B83" s="34">
        <v>21</v>
      </c>
      <c r="C83" s="28" t="s">
        <v>274</v>
      </c>
      <c r="D83" s="16" t="s">
        <v>45</v>
      </c>
      <c r="E83" s="28" t="s">
        <v>180</v>
      </c>
      <c r="F83" s="28" t="s">
        <v>46</v>
      </c>
      <c r="G83" s="16" t="s">
        <v>174</v>
      </c>
      <c r="H83" s="16" t="s">
        <v>170</v>
      </c>
      <c r="I83" s="1">
        <v>104</v>
      </c>
      <c r="J83" s="1">
        <v>162</v>
      </c>
      <c r="K83" s="1">
        <v>109</v>
      </c>
      <c r="L83" s="1"/>
      <c r="M83" s="1">
        <f t="shared" si="5"/>
        <v>375</v>
      </c>
      <c r="N83" s="1" t="s">
        <v>89</v>
      </c>
      <c r="O83" s="1"/>
      <c r="P83" s="1"/>
    </row>
    <row r="84" spans="1:16" ht="17" customHeight="1">
      <c r="A84" s="16">
        <v>82</v>
      </c>
      <c r="B84" s="34">
        <v>21</v>
      </c>
      <c r="C84" s="28" t="s">
        <v>274</v>
      </c>
      <c r="D84" s="16" t="s">
        <v>49</v>
      </c>
      <c r="E84" s="28"/>
      <c r="F84" s="28" t="s">
        <v>277</v>
      </c>
      <c r="G84" s="16" t="s">
        <v>174</v>
      </c>
      <c r="H84" s="16" t="s">
        <v>170</v>
      </c>
      <c r="I84" s="1">
        <v>99</v>
      </c>
      <c r="J84" s="1">
        <v>99</v>
      </c>
      <c r="K84" s="1">
        <v>106</v>
      </c>
      <c r="L84" s="1"/>
      <c r="M84" s="1">
        <f t="shared" si="5"/>
        <v>304</v>
      </c>
      <c r="N84" s="1" t="s">
        <v>89</v>
      </c>
      <c r="O84" s="1"/>
      <c r="P84" s="1"/>
    </row>
    <row r="85" spans="1:16" ht="17" customHeight="1">
      <c r="A85" s="16">
        <v>83</v>
      </c>
      <c r="B85" s="34">
        <v>21</v>
      </c>
      <c r="C85" s="28" t="s">
        <v>274</v>
      </c>
      <c r="D85" s="16" t="s">
        <v>51</v>
      </c>
      <c r="E85" s="28"/>
      <c r="F85" s="28" t="s">
        <v>52</v>
      </c>
      <c r="G85" s="16" t="s">
        <v>174</v>
      </c>
      <c r="H85" s="16" t="s">
        <v>170</v>
      </c>
      <c r="I85" s="1">
        <v>126</v>
      </c>
      <c r="J85" s="1">
        <v>133</v>
      </c>
      <c r="K85" s="1">
        <v>119</v>
      </c>
      <c r="L85" s="1"/>
      <c r="M85" s="38">
        <f t="shared" si="5"/>
        <v>378</v>
      </c>
      <c r="N85" s="1" t="s">
        <v>89</v>
      </c>
      <c r="O85" s="1"/>
      <c r="P85" s="1"/>
    </row>
    <row r="86" spans="1:16" ht="17" customHeight="1">
      <c r="A86" s="16">
        <v>84</v>
      </c>
      <c r="B86" s="34">
        <v>21</v>
      </c>
      <c r="C86" s="28"/>
      <c r="D86" s="16"/>
      <c r="E86" s="28"/>
      <c r="F86" s="28"/>
      <c r="G86" s="16"/>
      <c r="H86" s="16"/>
      <c r="I86" s="1"/>
      <c r="J86" s="1"/>
      <c r="K86" s="1"/>
      <c r="L86" s="1"/>
      <c r="M86" s="1"/>
      <c r="N86" s="1"/>
      <c r="O86" s="1"/>
      <c r="P86" s="1"/>
    </row>
    <row r="87" spans="1:16" ht="17" customHeight="1">
      <c r="A87" s="33">
        <v>85</v>
      </c>
      <c r="B87" s="34">
        <v>22</v>
      </c>
      <c r="C87" s="28" t="s">
        <v>274</v>
      </c>
      <c r="D87" s="16" t="s">
        <v>428</v>
      </c>
      <c r="E87" s="28"/>
      <c r="F87" s="28" t="s">
        <v>279</v>
      </c>
      <c r="G87" s="16" t="s">
        <v>429</v>
      </c>
      <c r="H87" s="16" t="s">
        <v>170</v>
      </c>
      <c r="I87" s="1">
        <v>95</v>
      </c>
      <c r="J87" s="1">
        <v>56</v>
      </c>
      <c r="K87" s="1">
        <v>142</v>
      </c>
      <c r="L87" s="1"/>
      <c r="M87" s="1">
        <f t="shared" ref="M87:M93" si="6">SUM(I87:L87)</f>
        <v>293</v>
      </c>
      <c r="N87" s="1" t="s">
        <v>89</v>
      </c>
      <c r="O87" s="1"/>
      <c r="P87" s="1"/>
    </row>
    <row r="88" spans="1:16" ht="17" customHeight="1">
      <c r="A88" s="16">
        <v>86</v>
      </c>
      <c r="B88" s="34">
        <v>22</v>
      </c>
      <c r="C88" s="28" t="s">
        <v>280</v>
      </c>
      <c r="D88" s="16" t="s">
        <v>281</v>
      </c>
      <c r="E88" s="28"/>
      <c r="F88" s="28" t="s">
        <v>282</v>
      </c>
      <c r="G88" s="16" t="s">
        <v>174</v>
      </c>
      <c r="H88" s="16" t="s">
        <v>170</v>
      </c>
      <c r="I88" s="1">
        <v>148</v>
      </c>
      <c r="J88" s="1">
        <v>142</v>
      </c>
      <c r="K88" s="1">
        <v>126</v>
      </c>
      <c r="L88" s="1"/>
      <c r="M88" s="38">
        <f t="shared" si="6"/>
        <v>416</v>
      </c>
      <c r="N88" s="1" t="s">
        <v>89</v>
      </c>
      <c r="O88" s="1" t="s">
        <v>437</v>
      </c>
      <c r="P88" s="1"/>
    </row>
    <row r="89" spans="1:16" ht="17" customHeight="1">
      <c r="A89" s="16">
        <v>87</v>
      </c>
      <c r="B89" s="34">
        <v>22</v>
      </c>
      <c r="C89" s="28" t="s">
        <v>280</v>
      </c>
      <c r="D89" s="16" t="s">
        <v>283</v>
      </c>
      <c r="E89" s="28"/>
      <c r="F89" s="28" t="s">
        <v>284</v>
      </c>
      <c r="G89" s="16" t="s">
        <v>174</v>
      </c>
      <c r="H89" s="16" t="s">
        <v>170</v>
      </c>
      <c r="I89" s="35">
        <v>190</v>
      </c>
      <c r="J89" s="1">
        <v>140</v>
      </c>
      <c r="K89" s="1">
        <v>132</v>
      </c>
      <c r="L89" s="1"/>
      <c r="M89" s="38">
        <f t="shared" si="6"/>
        <v>462</v>
      </c>
      <c r="N89" s="1" t="s">
        <v>89</v>
      </c>
      <c r="O89" s="1" t="s">
        <v>437</v>
      </c>
      <c r="P89" s="1"/>
    </row>
    <row r="90" spans="1:16" ht="17" customHeight="1">
      <c r="A90" s="16">
        <v>88</v>
      </c>
      <c r="B90" s="34">
        <v>22</v>
      </c>
      <c r="C90" s="28" t="s">
        <v>300</v>
      </c>
      <c r="D90" s="16" t="s">
        <v>301</v>
      </c>
      <c r="E90" s="28" t="s">
        <v>178</v>
      </c>
      <c r="F90" s="28" t="s">
        <v>22</v>
      </c>
      <c r="G90" s="16" t="s">
        <v>174</v>
      </c>
      <c r="H90" s="16" t="s">
        <v>170</v>
      </c>
      <c r="I90" s="1"/>
      <c r="J90" s="1"/>
      <c r="K90" s="1"/>
      <c r="L90" s="1"/>
      <c r="M90" s="1">
        <f t="shared" si="6"/>
        <v>0</v>
      </c>
      <c r="N90" s="1" t="s">
        <v>89</v>
      </c>
      <c r="O90" s="1"/>
      <c r="P90" s="22" t="s">
        <v>388</v>
      </c>
    </row>
    <row r="91" spans="1:16" ht="17" customHeight="1">
      <c r="A91" s="16">
        <v>89</v>
      </c>
      <c r="B91" s="34">
        <v>23</v>
      </c>
      <c r="C91" s="28" t="s">
        <v>300</v>
      </c>
      <c r="D91" s="16" t="s">
        <v>302</v>
      </c>
      <c r="E91" s="28"/>
      <c r="F91" s="28" t="s">
        <v>303</v>
      </c>
      <c r="G91" s="16" t="s">
        <v>174</v>
      </c>
      <c r="H91" s="16" t="s">
        <v>170</v>
      </c>
      <c r="I91" s="1"/>
      <c r="J91" s="1"/>
      <c r="K91" s="1"/>
      <c r="L91" s="1"/>
      <c r="M91" s="1">
        <f t="shared" si="6"/>
        <v>0</v>
      </c>
      <c r="N91" s="1" t="s">
        <v>89</v>
      </c>
      <c r="O91" s="1"/>
      <c r="P91" s="36">
        <v>2745</v>
      </c>
    </row>
    <row r="92" spans="1:16" ht="17" customHeight="1">
      <c r="A92" s="16">
        <v>90</v>
      </c>
      <c r="B92" s="34">
        <v>23</v>
      </c>
      <c r="C92" s="28" t="s">
        <v>300</v>
      </c>
      <c r="D92" s="16" t="s">
        <v>304</v>
      </c>
      <c r="E92" s="28"/>
      <c r="F92" s="28" t="s">
        <v>305</v>
      </c>
      <c r="G92" s="16" t="s">
        <v>174</v>
      </c>
      <c r="H92" s="16" t="s">
        <v>170</v>
      </c>
      <c r="I92" s="1">
        <v>122</v>
      </c>
      <c r="J92" s="1">
        <v>110</v>
      </c>
      <c r="K92" s="1">
        <v>120</v>
      </c>
      <c r="L92" s="1"/>
      <c r="M92" s="38">
        <f t="shared" si="6"/>
        <v>352</v>
      </c>
      <c r="N92" s="1" t="s">
        <v>89</v>
      </c>
      <c r="O92" s="1"/>
      <c r="P92" s="1"/>
    </row>
    <row r="93" spans="1:16" ht="17" customHeight="1">
      <c r="A93" s="16">
        <v>91</v>
      </c>
      <c r="B93" s="34">
        <v>23</v>
      </c>
      <c r="C93" s="28" t="s">
        <v>306</v>
      </c>
      <c r="D93" s="16" t="s">
        <v>307</v>
      </c>
      <c r="E93" s="28" t="s">
        <v>198</v>
      </c>
      <c r="F93" s="28" t="s">
        <v>41</v>
      </c>
      <c r="G93" s="16" t="s">
        <v>174</v>
      </c>
      <c r="H93" s="16" t="s">
        <v>170</v>
      </c>
      <c r="I93" s="1">
        <v>146</v>
      </c>
      <c r="J93" s="1">
        <v>156</v>
      </c>
      <c r="K93" s="1">
        <v>133</v>
      </c>
      <c r="L93" s="1"/>
      <c r="M93" s="38">
        <f t="shared" si="6"/>
        <v>435</v>
      </c>
      <c r="N93" s="1" t="s">
        <v>89</v>
      </c>
      <c r="O93" s="1"/>
      <c r="P93" s="1"/>
    </row>
    <row r="94" spans="1:16" ht="17" customHeight="1">
      <c r="A94" s="16">
        <v>92</v>
      </c>
      <c r="B94" s="34">
        <v>23</v>
      </c>
      <c r="C94" s="28"/>
      <c r="D94" s="16"/>
      <c r="E94" s="28"/>
      <c r="F94" s="28"/>
      <c r="G94" s="16"/>
      <c r="H94" s="16"/>
      <c r="I94" s="1"/>
      <c r="J94" s="1"/>
      <c r="K94" s="1"/>
      <c r="L94" s="1"/>
      <c r="M94" s="1"/>
      <c r="N94" s="1"/>
      <c r="O94" s="1"/>
      <c r="P94" s="1"/>
    </row>
    <row r="95" spans="1:16" ht="17" customHeight="1">
      <c r="A95" s="16">
        <v>93</v>
      </c>
      <c r="B95" s="34">
        <v>24</v>
      </c>
      <c r="C95" s="31" t="s">
        <v>306</v>
      </c>
      <c r="D95" s="32" t="s">
        <v>308</v>
      </c>
      <c r="E95" s="31"/>
      <c r="F95" s="31" t="s">
        <v>309</v>
      </c>
      <c r="G95" s="32" t="s">
        <v>169</v>
      </c>
      <c r="H95" s="32" t="s">
        <v>170</v>
      </c>
      <c r="I95" s="25">
        <v>99</v>
      </c>
      <c r="J95" s="25">
        <v>81</v>
      </c>
      <c r="K95" s="25">
        <v>103</v>
      </c>
      <c r="L95" s="25">
        <v>36</v>
      </c>
      <c r="M95" s="39">
        <f t="shared" ref="M95:M101" si="7">SUM(I95:L95)</f>
        <v>319</v>
      </c>
      <c r="N95" s="25" t="s">
        <v>94</v>
      </c>
      <c r="O95" s="1"/>
      <c r="P95" s="1"/>
    </row>
    <row r="96" spans="1:16" ht="17" customHeight="1">
      <c r="A96" s="16">
        <v>94</v>
      </c>
      <c r="B96" s="34">
        <v>24</v>
      </c>
      <c r="C96" s="31" t="s">
        <v>306</v>
      </c>
      <c r="D96" s="32" t="s">
        <v>310</v>
      </c>
      <c r="E96" s="31"/>
      <c r="F96" s="31" t="s">
        <v>17</v>
      </c>
      <c r="G96" s="32" t="s">
        <v>169</v>
      </c>
      <c r="H96" s="32" t="s">
        <v>170</v>
      </c>
      <c r="I96" s="25">
        <v>70</v>
      </c>
      <c r="J96" s="25">
        <v>68</v>
      </c>
      <c r="K96" s="25">
        <v>113</v>
      </c>
      <c r="L96" s="25">
        <v>36</v>
      </c>
      <c r="M96" s="25">
        <f t="shared" si="7"/>
        <v>287</v>
      </c>
      <c r="N96" s="25" t="s">
        <v>94</v>
      </c>
      <c r="O96" s="1"/>
      <c r="P96" s="1"/>
    </row>
    <row r="97" spans="1:16" ht="17" customHeight="1">
      <c r="A97" s="16">
        <v>95</v>
      </c>
      <c r="B97" s="34">
        <v>24</v>
      </c>
      <c r="C97" s="31" t="s">
        <v>306</v>
      </c>
      <c r="D97" s="32" t="s">
        <v>59</v>
      </c>
      <c r="E97" s="31"/>
      <c r="F97" s="31" t="s">
        <v>60</v>
      </c>
      <c r="G97" s="32" t="s">
        <v>169</v>
      </c>
      <c r="H97" s="32" t="s">
        <v>170</v>
      </c>
      <c r="I97" s="25">
        <v>60</v>
      </c>
      <c r="J97" s="25">
        <v>64</v>
      </c>
      <c r="K97" s="25">
        <v>47</v>
      </c>
      <c r="L97" s="25">
        <v>36</v>
      </c>
      <c r="M97" s="25">
        <f t="shared" si="7"/>
        <v>207</v>
      </c>
      <c r="N97" s="25" t="s">
        <v>94</v>
      </c>
      <c r="O97" s="1" t="s">
        <v>444</v>
      </c>
      <c r="P97" s="1"/>
    </row>
    <row r="98" spans="1:16" ht="17" customHeight="1">
      <c r="A98" s="16">
        <v>96</v>
      </c>
      <c r="B98" s="34">
        <v>24</v>
      </c>
      <c r="C98" s="31" t="s">
        <v>306</v>
      </c>
      <c r="D98" s="32" t="s">
        <v>58</v>
      </c>
      <c r="E98" s="31"/>
      <c r="F98" s="31" t="s">
        <v>311</v>
      </c>
      <c r="G98" s="32" t="s">
        <v>169</v>
      </c>
      <c r="H98" s="32" t="s">
        <v>170</v>
      </c>
      <c r="I98" s="25">
        <v>66</v>
      </c>
      <c r="J98" s="25">
        <v>106</v>
      </c>
      <c r="K98" s="25">
        <v>110</v>
      </c>
      <c r="L98" s="25">
        <v>36</v>
      </c>
      <c r="M98" s="39">
        <f t="shared" si="7"/>
        <v>318</v>
      </c>
      <c r="N98" s="25" t="s">
        <v>94</v>
      </c>
      <c r="O98" s="1"/>
      <c r="P98" s="1"/>
    </row>
    <row r="99" spans="1:16" ht="17" customHeight="1">
      <c r="A99" s="16">
        <v>97</v>
      </c>
      <c r="B99" s="34">
        <v>25</v>
      </c>
      <c r="C99" s="28" t="s">
        <v>306</v>
      </c>
      <c r="D99" s="16" t="s">
        <v>312</v>
      </c>
      <c r="E99" s="28"/>
      <c r="F99" s="28" t="s">
        <v>313</v>
      </c>
      <c r="G99" s="16" t="s">
        <v>174</v>
      </c>
      <c r="H99" s="16" t="s">
        <v>170</v>
      </c>
      <c r="I99" s="1">
        <v>130</v>
      </c>
      <c r="J99" s="1">
        <v>152</v>
      </c>
      <c r="K99" s="1">
        <v>154</v>
      </c>
      <c r="L99" s="1"/>
      <c r="M99" s="38">
        <f t="shared" si="7"/>
        <v>436</v>
      </c>
      <c r="N99" s="1" t="s">
        <v>89</v>
      </c>
      <c r="O99" s="1" t="s">
        <v>437</v>
      </c>
      <c r="P99" s="1"/>
    </row>
    <row r="100" spans="1:16" ht="17" customHeight="1">
      <c r="A100" s="16">
        <v>98</v>
      </c>
      <c r="B100" s="34">
        <v>25</v>
      </c>
      <c r="C100" s="28" t="s">
        <v>314</v>
      </c>
      <c r="D100" s="16" t="s">
        <v>61</v>
      </c>
      <c r="E100" s="28" t="s">
        <v>193</v>
      </c>
      <c r="F100" s="28" t="s">
        <v>315</v>
      </c>
      <c r="G100" s="16" t="s">
        <v>174</v>
      </c>
      <c r="H100" s="16" t="s">
        <v>170</v>
      </c>
      <c r="I100" s="1">
        <v>135</v>
      </c>
      <c r="J100" s="1">
        <v>137</v>
      </c>
      <c r="K100" s="1">
        <v>203</v>
      </c>
      <c r="L100" s="1"/>
      <c r="M100" s="38">
        <f t="shared" si="7"/>
        <v>475</v>
      </c>
      <c r="N100" s="1" t="s">
        <v>89</v>
      </c>
      <c r="O100" s="1" t="s">
        <v>437</v>
      </c>
      <c r="P100" s="1"/>
    </row>
    <row r="101" spans="1:16" ht="17" customHeight="1">
      <c r="A101" s="16">
        <v>99</v>
      </c>
      <c r="B101" s="34">
        <v>25</v>
      </c>
      <c r="C101" s="31" t="s">
        <v>314</v>
      </c>
      <c r="D101" s="32" t="s">
        <v>316</v>
      </c>
      <c r="E101" s="31"/>
      <c r="F101" s="31" t="s">
        <v>317</v>
      </c>
      <c r="G101" s="32" t="s">
        <v>169</v>
      </c>
      <c r="H101" s="32" t="s">
        <v>170</v>
      </c>
      <c r="I101" s="25">
        <v>115</v>
      </c>
      <c r="J101" s="25">
        <v>59</v>
      </c>
      <c r="K101" s="25">
        <v>61</v>
      </c>
      <c r="L101" s="25">
        <v>36</v>
      </c>
      <c r="M101" s="25">
        <f t="shared" si="7"/>
        <v>271</v>
      </c>
      <c r="N101" s="25" t="s">
        <v>94</v>
      </c>
      <c r="O101" s="1" t="s">
        <v>441</v>
      </c>
      <c r="P101" s="1"/>
    </row>
    <row r="102" spans="1:16" ht="17" customHeight="1">
      <c r="A102" s="16">
        <v>100</v>
      </c>
      <c r="B102" s="34">
        <v>25</v>
      </c>
      <c r="C102" s="28"/>
      <c r="D102" s="16"/>
      <c r="E102" s="28"/>
      <c r="F102" s="28"/>
      <c r="G102" s="16"/>
      <c r="H102" s="16"/>
      <c r="I102" s="1"/>
      <c r="J102" s="1"/>
      <c r="K102" s="1"/>
      <c r="L102" s="1"/>
      <c r="M102" s="1"/>
      <c r="N102" s="1"/>
      <c r="O102" s="1"/>
      <c r="P102" s="1"/>
    </row>
    <row r="103" spans="1:16" ht="17" customHeight="1">
      <c r="A103" s="16">
        <v>101</v>
      </c>
      <c r="B103" s="34">
        <v>26</v>
      </c>
      <c r="C103" s="28" t="s">
        <v>314</v>
      </c>
      <c r="D103" s="16" t="s">
        <v>318</v>
      </c>
      <c r="E103" s="28" t="s">
        <v>178</v>
      </c>
      <c r="F103" s="28" t="s">
        <v>319</v>
      </c>
      <c r="G103" s="16" t="s">
        <v>174</v>
      </c>
      <c r="H103" s="16" t="s">
        <v>170</v>
      </c>
      <c r="I103" s="1">
        <v>154</v>
      </c>
      <c r="J103" s="1">
        <v>144</v>
      </c>
      <c r="K103" s="1">
        <v>112</v>
      </c>
      <c r="L103" s="1"/>
      <c r="M103" s="38">
        <f t="shared" ref="M103:M109" si="8">SUM(I103:L103)</f>
        <v>410</v>
      </c>
      <c r="N103" s="1" t="s">
        <v>89</v>
      </c>
      <c r="O103" s="1" t="s">
        <v>425</v>
      </c>
      <c r="P103" s="1"/>
    </row>
    <row r="104" spans="1:16" ht="17" customHeight="1">
      <c r="A104" s="16">
        <v>102</v>
      </c>
      <c r="B104" s="34">
        <v>26</v>
      </c>
      <c r="C104" s="28" t="s">
        <v>314</v>
      </c>
      <c r="D104" s="16" t="s">
        <v>62</v>
      </c>
      <c r="E104" s="28"/>
      <c r="F104" s="28" t="s">
        <v>63</v>
      </c>
      <c r="G104" s="16" t="s">
        <v>174</v>
      </c>
      <c r="H104" s="16" t="s">
        <v>170</v>
      </c>
      <c r="I104" s="1">
        <v>128</v>
      </c>
      <c r="J104" s="1">
        <v>95</v>
      </c>
      <c r="K104" s="1">
        <v>82</v>
      </c>
      <c r="L104" s="1"/>
      <c r="M104" s="1">
        <f t="shared" si="8"/>
        <v>305</v>
      </c>
      <c r="N104" s="1" t="s">
        <v>89</v>
      </c>
      <c r="O104" s="1" t="s">
        <v>425</v>
      </c>
      <c r="P104" s="1"/>
    </row>
    <row r="105" spans="1:16" ht="17" customHeight="1">
      <c r="A105" s="16">
        <v>103</v>
      </c>
      <c r="B105" s="34">
        <v>26</v>
      </c>
      <c r="C105" s="28" t="s">
        <v>314</v>
      </c>
      <c r="D105" s="16" t="s">
        <v>320</v>
      </c>
      <c r="E105" s="28" t="s">
        <v>183</v>
      </c>
      <c r="F105" s="28" t="s">
        <v>321</v>
      </c>
      <c r="G105" s="16" t="s">
        <v>174</v>
      </c>
      <c r="H105" s="16" t="s">
        <v>170</v>
      </c>
      <c r="I105" s="1">
        <v>87</v>
      </c>
      <c r="J105" s="1">
        <v>142</v>
      </c>
      <c r="K105" s="1">
        <v>72</v>
      </c>
      <c r="L105" s="1"/>
      <c r="M105" s="1">
        <f t="shared" si="8"/>
        <v>301</v>
      </c>
      <c r="N105" s="1" t="s">
        <v>89</v>
      </c>
      <c r="O105" s="1"/>
      <c r="P105" s="1"/>
    </row>
    <row r="106" spans="1:16" ht="17" customHeight="1">
      <c r="A106" s="16">
        <v>104</v>
      </c>
      <c r="B106" s="34">
        <v>26</v>
      </c>
      <c r="C106" s="29" t="s">
        <v>314</v>
      </c>
      <c r="D106" s="30" t="s">
        <v>322</v>
      </c>
      <c r="E106" s="29"/>
      <c r="F106" s="29" t="s">
        <v>323</v>
      </c>
      <c r="G106" s="30" t="s">
        <v>169</v>
      </c>
      <c r="H106" s="30" t="s">
        <v>175</v>
      </c>
      <c r="I106" s="26">
        <v>169</v>
      </c>
      <c r="J106" s="26">
        <v>99</v>
      </c>
      <c r="K106" s="26">
        <v>115</v>
      </c>
      <c r="L106" s="26">
        <v>36</v>
      </c>
      <c r="M106" s="26">
        <f t="shared" si="8"/>
        <v>419</v>
      </c>
      <c r="N106" s="26" t="s">
        <v>383</v>
      </c>
      <c r="O106" s="1" t="s">
        <v>435</v>
      </c>
      <c r="P106" s="1"/>
    </row>
    <row r="107" spans="1:16" ht="17" customHeight="1">
      <c r="A107" s="16">
        <v>105</v>
      </c>
      <c r="B107" s="34">
        <v>27</v>
      </c>
      <c r="C107" s="29" t="s">
        <v>314</v>
      </c>
      <c r="D107" s="30" t="s">
        <v>324</v>
      </c>
      <c r="E107" s="29"/>
      <c r="F107" s="29" t="s">
        <v>34</v>
      </c>
      <c r="G107" s="30" t="s">
        <v>174</v>
      </c>
      <c r="H107" s="30" t="s">
        <v>228</v>
      </c>
      <c r="I107" s="26">
        <v>121</v>
      </c>
      <c r="J107" s="26">
        <v>112</v>
      </c>
      <c r="K107" s="26">
        <v>124</v>
      </c>
      <c r="L107" s="26"/>
      <c r="M107" s="26">
        <f t="shared" si="8"/>
        <v>357</v>
      </c>
      <c r="N107" s="26" t="s">
        <v>383</v>
      </c>
      <c r="O107" s="1" t="s">
        <v>426</v>
      </c>
      <c r="P107" s="1"/>
    </row>
    <row r="108" spans="1:16" ht="17" customHeight="1">
      <c r="A108" s="16">
        <v>106</v>
      </c>
      <c r="B108" s="34">
        <v>27</v>
      </c>
      <c r="C108" s="28" t="s">
        <v>232</v>
      </c>
      <c r="D108" s="16" t="s">
        <v>233</v>
      </c>
      <c r="E108" s="28" t="s">
        <v>198</v>
      </c>
      <c r="F108" s="28" t="s">
        <v>234</v>
      </c>
      <c r="G108" s="16" t="s">
        <v>174</v>
      </c>
      <c r="H108" s="16" t="s">
        <v>170</v>
      </c>
      <c r="I108" s="1">
        <v>124</v>
      </c>
      <c r="J108" s="1">
        <v>113</v>
      </c>
      <c r="K108" s="1">
        <v>117</v>
      </c>
      <c r="L108" s="1"/>
      <c r="M108" s="38">
        <f t="shared" si="8"/>
        <v>354</v>
      </c>
      <c r="N108" s="1" t="s">
        <v>89</v>
      </c>
      <c r="O108" s="1" t="s">
        <v>426</v>
      </c>
      <c r="P108" s="22" t="s">
        <v>389</v>
      </c>
    </row>
    <row r="109" spans="1:16" ht="17" customHeight="1">
      <c r="A109" s="16">
        <v>107</v>
      </c>
      <c r="B109" s="34">
        <v>27</v>
      </c>
      <c r="C109" s="29" t="s">
        <v>232</v>
      </c>
      <c r="D109" s="30" t="s">
        <v>23</v>
      </c>
      <c r="E109" s="29"/>
      <c r="F109" s="29"/>
      <c r="G109" s="30" t="s">
        <v>169</v>
      </c>
      <c r="H109" s="30" t="s">
        <v>228</v>
      </c>
      <c r="I109" s="26">
        <v>91</v>
      </c>
      <c r="J109" s="26">
        <v>161</v>
      </c>
      <c r="K109" s="26">
        <v>110</v>
      </c>
      <c r="L109" s="26">
        <v>36</v>
      </c>
      <c r="M109" s="26">
        <f t="shared" si="8"/>
        <v>398</v>
      </c>
      <c r="N109" s="26" t="s">
        <v>383</v>
      </c>
      <c r="O109" s="1" t="s">
        <v>440</v>
      </c>
      <c r="P109" s="36">
        <v>2783</v>
      </c>
    </row>
    <row r="110" spans="1:16" ht="17" customHeight="1">
      <c r="A110" s="16">
        <v>108</v>
      </c>
      <c r="B110" s="34">
        <v>27</v>
      </c>
      <c r="C110" s="28"/>
      <c r="D110" s="16"/>
      <c r="E110" s="28"/>
      <c r="F110" s="28"/>
      <c r="G110" s="16"/>
      <c r="H110" s="16"/>
      <c r="I110" s="1"/>
      <c r="J110" s="1"/>
      <c r="K110" s="1"/>
      <c r="L110" s="1"/>
      <c r="M110" s="1"/>
      <c r="N110" s="1"/>
      <c r="O110" s="1"/>
      <c r="P110" s="1"/>
    </row>
    <row r="111" spans="1:16" ht="17" customHeight="1">
      <c r="A111" s="16">
        <v>109</v>
      </c>
      <c r="B111" s="34">
        <v>28</v>
      </c>
      <c r="C111" s="29" t="s">
        <v>232</v>
      </c>
      <c r="D111" s="30" t="s">
        <v>235</v>
      </c>
      <c r="E111" s="29"/>
      <c r="F111" s="29"/>
      <c r="G111" s="30" t="s">
        <v>169</v>
      </c>
      <c r="H111" s="30" t="s">
        <v>228</v>
      </c>
      <c r="I111" s="26">
        <v>102</v>
      </c>
      <c r="J111" s="26">
        <v>118</v>
      </c>
      <c r="K111" s="26">
        <v>130</v>
      </c>
      <c r="L111" s="26">
        <v>36</v>
      </c>
      <c r="M111" s="26">
        <f t="shared" ref="M111:M117" si="9">SUM(I111:L111)</f>
        <v>386</v>
      </c>
      <c r="N111" s="26" t="s">
        <v>383</v>
      </c>
      <c r="O111" s="1" t="s">
        <v>425</v>
      </c>
      <c r="P111" s="1"/>
    </row>
    <row r="112" spans="1:16" ht="17" customHeight="1">
      <c r="A112" s="16">
        <v>110</v>
      </c>
      <c r="B112" s="34">
        <v>28</v>
      </c>
      <c r="C112" s="28" t="s">
        <v>232</v>
      </c>
      <c r="D112" s="16" t="s">
        <v>25</v>
      </c>
      <c r="E112" s="28" t="s">
        <v>198</v>
      </c>
      <c r="F112" s="28" t="s">
        <v>236</v>
      </c>
      <c r="G112" s="16" t="s">
        <v>174</v>
      </c>
      <c r="H112" s="16" t="s">
        <v>170</v>
      </c>
      <c r="I112" s="1">
        <v>139</v>
      </c>
      <c r="J112" s="1">
        <v>107</v>
      </c>
      <c r="K112" s="1">
        <v>143</v>
      </c>
      <c r="L112" s="1"/>
      <c r="M112" s="38">
        <f t="shared" si="9"/>
        <v>389</v>
      </c>
      <c r="N112" s="1" t="s">
        <v>89</v>
      </c>
      <c r="O112" s="1" t="s">
        <v>425</v>
      </c>
      <c r="P112" s="1"/>
    </row>
    <row r="113" spans="1:16" ht="17" customHeight="1">
      <c r="A113" s="16">
        <v>111</v>
      </c>
      <c r="B113" s="34">
        <v>28</v>
      </c>
      <c r="C113" s="29" t="s">
        <v>232</v>
      </c>
      <c r="D113" s="30" t="s">
        <v>26</v>
      </c>
      <c r="E113" s="29"/>
      <c r="F113" s="29"/>
      <c r="G113" s="30" t="s">
        <v>169</v>
      </c>
      <c r="H113" s="30" t="s">
        <v>175</v>
      </c>
      <c r="I113" s="26">
        <v>118</v>
      </c>
      <c r="J113" s="26">
        <v>115</v>
      </c>
      <c r="K113" s="26">
        <v>143</v>
      </c>
      <c r="L113" s="26">
        <v>36</v>
      </c>
      <c r="M113" s="26">
        <f t="shared" si="9"/>
        <v>412</v>
      </c>
      <c r="N113" s="26" t="s">
        <v>383</v>
      </c>
      <c r="O113" s="1" t="s">
        <v>425</v>
      </c>
      <c r="P113" s="1"/>
    </row>
    <row r="114" spans="1:16" ht="17" customHeight="1">
      <c r="A114" s="16">
        <v>112</v>
      </c>
      <c r="B114" s="34">
        <v>28</v>
      </c>
      <c r="C114" s="29" t="s">
        <v>232</v>
      </c>
      <c r="D114" s="30" t="s">
        <v>237</v>
      </c>
      <c r="E114" s="29"/>
      <c r="F114" s="29"/>
      <c r="G114" s="30" t="s">
        <v>169</v>
      </c>
      <c r="H114" s="30" t="s">
        <v>175</v>
      </c>
      <c r="I114" s="26">
        <v>105</v>
      </c>
      <c r="J114" s="26">
        <v>105</v>
      </c>
      <c r="K114" s="26">
        <v>121</v>
      </c>
      <c r="L114" s="26">
        <v>36</v>
      </c>
      <c r="M114" s="26">
        <f t="shared" si="9"/>
        <v>367</v>
      </c>
      <c r="N114" s="26" t="s">
        <v>383</v>
      </c>
      <c r="O114" s="1" t="s">
        <v>425</v>
      </c>
      <c r="P114" s="1"/>
    </row>
    <row r="115" spans="1:16" ht="17" customHeight="1">
      <c r="A115" s="16">
        <v>113</v>
      </c>
      <c r="B115" s="34">
        <v>29</v>
      </c>
      <c r="C115" s="29" t="s">
        <v>232</v>
      </c>
      <c r="D115" s="30" t="s">
        <v>27</v>
      </c>
      <c r="E115" s="29"/>
      <c r="F115" s="29"/>
      <c r="G115" s="30" t="s">
        <v>169</v>
      </c>
      <c r="H115" s="30" t="s">
        <v>228</v>
      </c>
      <c r="I115" s="26">
        <v>90</v>
      </c>
      <c r="J115" s="26">
        <v>109</v>
      </c>
      <c r="K115" s="26">
        <v>125</v>
      </c>
      <c r="L115" s="26">
        <v>36</v>
      </c>
      <c r="M115" s="26">
        <f t="shared" si="9"/>
        <v>360</v>
      </c>
      <c r="N115" s="26" t="s">
        <v>383</v>
      </c>
      <c r="O115" s="1" t="s">
        <v>426</v>
      </c>
      <c r="P115" s="1"/>
    </row>
    <row r="116" spans="1:16" ht="17" customHeight="1">
      <c r="A116" s="16">
        <v>114</v>
      </c>
      <c r="B116" s="34">
        <v>29</v>
      </c>
      <c r="C116" s="29" t="s">
        <v>232</v>
      </c>
      <c r="D116" s="30" t="s">
        <v>24</v>
      </c>
      <c r="E116" s="29"/>
      <c r="F116" s="29"/>
      <c r="G116" s="30" t="s">
        <v>169</v>
      </c>
      <c r="H116" s="30" t="s">
        <v>228</v>
      </c>
      <c r="I116" s="26">
        <v>77</v>
      </c>
      <c r="J116" s="26">
        <v>88</v>
      </c>
      <c r="K116" s="26">
        <v>114</v>
      </c>
      <c r="L116" s="26">
        <v>36</v>
      </c>
      <c r="M116" s="26">
        <f t="shared" si="9"/>
        <v>315</v>
      </c>
      <c r="N116" s="26" t="s">
        <v>383</v>
      </c>
      <c r="O116" s="1" t="s">
        <v>426</v>
      </c>
      <c r="P116" s="1"/>
    </row>
    <row r="117" spans="1:16" ht="17" customHeight="1">
      <c r="A117" s="16">
        <v>115</v>
      </c>
      <c r="B117" s="34">
        <v>29</v>
      </c>
      <c r="C117" s="29" t="s">
        <v>232</v>
      </c>
      <c r="D117" s="30" t="s">
        <v>238</v>
      </c>
      <c r="E117" s="29"/>
      <c r="F117" s="29"/>
      <c r="G117" s="30" t="s">
        <v>174</v>
      </c>
      <c r="H117" s="30" t="s">
        <v>228</v>
      </c>
      <c r="I117" s="26">
        <v>128</v>
      </c>
      <c r="J117" s="26">
        <v>117</v>
      </c>
      <c r="K117" s="26">
        <v>125</v>
      </c>
      <c r="L117" s="26"/>
      <c r="M117" s="26">
        <f t="shared" si="9"/>
        <v>370</v>
      </c>
      <c r="N117" s="26" t="s">
        <v>383</v>
      </c>
      <c r="O117" s="1" t="s">
        <v>426</v>
      </c>
      <c r="P117" s="1"/>
    </row>
    <row r="118" spans="1:16" ht="17" customHeight="1">
      <c r="A118" s="16">
        <v>116</v>
      </c>
      <c r="B118" s="34">
        <v>29</v>
      </c>
      <c r="C118" s="28"/>
      <c r="D118" s="16"/>
      <c r="E118" s="28"/>
      <c r="F118" s="28"/>
      <c r="G118" s="16"/>
      <c r="H118" s="16"/>
      <c r="I118" s="1"/>
      <c r="J118" s="1"/>
      <c r="K118" s="1"/>
      <c r="L118" s="1"/>
      <c r="M118" s="1"/>
      <c r="N118" s="1"/>
      <c r="O118" s="1"/>
      <c r="P118" s="1"/>
    </row>
    <row r="119" spans="1:16" ht="17" customHeight="1">
      <c r="A119" s="16">
        <v>117</v>
      </c>
      <c r="B119" s="34">
        <v>30</v>
      </c>
      <c r="C119" s="28" t="s">
        <v>239</v>
      </c>
      <c r="D119" s="16" t="s">
        <v>240</v>
      </c>
      <c r="E119" s="28" t="s">
        <v>198</v>
      </c>
      <c r="F119" s="28" t="s">
        <v>54</v>
      </c>
      <c r="G119" s="16" t="s">
        <v>174</v>
      </c>
      <c r="H119" s="16" t="s">
        <v>170</v>
      </c>
      <c r="I119" s="1">
        <v>135</v>
      </c>
      <c r="J119" s="1">
        <v>144</v>
      </c>
      <c r="K119" s="35">
        <v>237</v>
      </c>
      <c r="L119" s="1"/>
      <c r="M119" s="38">
        <f t="shared" ref="M119:M125" si="10">SUM(I119:L119)</f>
        <v>516</v>
      </c>
      <c r="N119" s="1" t="s">
        <v>89</v>
      </c>
      <c r="O119" s="1" t="s">
        <v>442</v>
      </c>
      <c r="P119" s="1"/>
    </row>
    <row r="120" spans="1:16" ht="17" customHeight="1">
      <c r="A120" s="16">
        <v>118</v>
      </c>
      <c r="B120" s="34">
        <v>30</v>
      </c>
      <c r="C120" s="31" t="s">
        <v>241</v>
      </c>
      <c r="D120" s="32" t="s">
        <v>29</v>
      </c>
      <c r="E120" s="31" t="s">
        <v>178</v>
      </c>
      <c r="F120" s="31" t="s">
        <v>242</v>
      </c>
      <c r="G120" s="32" t="s">
        <v>169</v>
      </c>
      <c r="H120" s="32" t="s">
        <v>170</v>
      </c>
      <c r="I120" s="25">
        <v>68</v>
      </c>
      <c r="J120" s="25">
        <v>76</v>
      </c>
      <c r="K120" s="25">
        <v>67</v>
      </c>
      <c r="L120" s="25">
        <v>36</v>
      </c>
      <c r="M120" s="25">
        <f t="shared" si="10"/>
        <v>247</v>
      </c>
      <c r="N120" s="25" t="s">
        <v>94</v>
      </c>
      <c r="O120" s="1" t="s">
        <v>425</v>
      </c>
      <c r="P120" s="1"/>
    </row>
    <row r="121" spans="1:16" ht="17" customHeight="1">
      <c r="A121" s="16">
        <v>119</v>
      </c>
      <c r="B121" s="34">
        <v>30</v>
      </c>
      <c r="C121" s="28" t="s">
        <v>241</v>
      </c>
      <c r="D121" s="16" t="s">
        <v>243</v>
      </c>
      <c r="E121" s="28" t="s">
        <v>183</v>
      </c>
      <c r="F121" s="28" t="s">
        <v>244</v>
      </c>
      <c r="G121" s="16" t="s">
        <v>174</v>
      </c>
      <c r="H121" s="16" t="s">
        <v>170</v>
      </c>
      <c r="I121" s="1"/>
      <c r="J121" s="1"/>
      <c r="K121" s="1"/>
      <c r="L121" s="1"/>
      <c r="M121" s="1">
        <f t="shared" si="10"/>
        <v>0</v>
      </c>
      <c r="N121" s="1" t="s">
        <v>89</v>
      </c>
      <c r="O121" s="1"/>
      <c r="P121" s="1"/>
    </row>
    <row r="122" spans="1:16" ht="17" customHeight="1">
      <c r="A122" s="16">
        <v>120</v>
      </c>
      <c r="B122" s="34">
        <v>30</v>
      </c>
      <c r="C122" s="28" t="s">
        <v>241</v>
      </c>
      <c r="D122" s="16" t="s">
        <v>30</v>
      </c>
      <c r="E122" s="28"/>
      <c r="F122" s="28" t="s">
        <v>31</v>
      </c>
      <c r="G122" s="16" t="s">
        <v>174</v>
      </c>
      <c r="H122" s="16" t="s">
        <v>170</v>
      </c>
      <c r="I122" s="1">
        <v>158</v>
      </c>
      <c r="J122" s="1">
        <v>135</v>
      </c>
      <c r="K122" s="1">
        <v>178</v>
      </c>
      <c r="L122" s="1"/>
      <c r="M122" s="38">
        <f t="shared" si="10"/>
        <v>471</v>
      </c>
      <c r="N122" s="1" t="s">
        <v>89</v>
      </c>
      <c r="O122" s="1" t="s">
        <v>443</v>
      </c>
      <c r="P122" s="3"/>
    </row>
    <row r="123" spans="1:16" ht="17" customHeight="1">
      <c r="A123" s="16">
        <v>121</v>
      </c>
      <c r="B123" s="34">
        <v>31</v>
      </c>
      <c r="C123" s="28" t="s">
        <v>241</v>
      </c>
      <c r="D123" s="16" t="s">
        <v>245</v>
      </c>
      <c r="E123" s="28"/>
      <c r="F123" s="28" t="s">
        <v>246</v>
      </c>
      <c r="G123" s="16" t="s">
        <v>174</v>
      </c>
      <c r="H123" s="16" t="s">
        <v>170</v>
      </c>
      <c r="I123" s="1">
        <v>119</v>
      </c>
      <c r="J123" s="1">
        <v>99</v>
      </c>
      <c r="K123" s="1">
        <v>110</v>
      </c>
      <c r="L123" s="1"/>
      <c r="M123" s="1">
        <f t="shared" si="10"/>
        <v>328</v>
      </c>
      <c r="N123" s="1" t="s">
        <v>89</v>
      </c>
      <c r="O123" s="1"/>
      <c r="P123" s="1"/>
    </row>
    <row r="124" spans="1:16" ht="17" customHeight="1">
      <c r="A124" s="16">
        <v>122</v>
      </c>
      <c r="B124" s="34">
        <v>31</v>
      </c>
      <c r="C124" s="31" t="s">
        <v>241</v>
      </c>
      <c r="D124" s="32" t="s">
        <v>247</v>
      </c>
      <c r="E124" s="31"/>
      <c r="F124" s="31" t="s">
        <v>248</v>
      </c>
      <c r="G124" s="32" t="s">
        <v>169</v>
      </c>
      <c r="H124" s="32" t="s">
        <v>170</v>
      </c>
      <c r="I124" s="25"/>
      <c r="J124" s="25"/>
      <c r="K124" s="25"/>
      <c r="L124" s="25">
        <v>36</v>
      </c>
      <c r="M124" s="25">
        <f t="shared" si="10"/>
        <v>36</v>
      </c>
      <c r="N124" s="25" t="s">
        <v>94</v>
      </c>
      <c r="O124" s="1"/>
      <c r="P124" s="1"/>
    </row>
    <row r="125" spans="1:16" ht="17" customHeight="1">
      <c r="A125" s="16">
        <v>123</v>
      </c>
      <c r="B125" s="34">
        <v>31</v>
      </c>
      <c r="C125" s="28" t="s">
        <v>241</v>
      </c>
      <c r="D125" s="16" t="s">
        <v>33</v>
      </c>
      <c r="E125" s="28" t="s">
        <v>171</v>
      </c>
      <c r="F125" s="28" t="s">
        <v>34</v>
      </c>
      <c r="G125" s="16" t="s">
        <v>174</v>
      </c>
      <c r="H125" s="16" t="s">
        <v>170</v>
      </c>
      <c r="I125" s="1">
        <v>69</v>
      </c>
      <c r="J125" s="1">
        <v>111</v>
      </c>
      <c r="K125" s="1">
        <v>100</v>
      </c>
      <c r="L125" s="1"/>
      <c r="M125" s="1">
        <f t="shared" si="10"/>
        <v>280</v>
      </c>
      <c r="N125" s="1" t="s">
        <v>89</v>
      </c>
      <c r="O125" s="1"/>
      <c r="P125" s="1"/>
    </row>
    <row r="126" spans="1:16" ht="17" customHeight="1">
      <c r="A126" s="16">
        <v>124</v>
      </c>
      <c r="B126" s="34">
        <v>31</v>
      </c>
      <c r="C126" s="28"/>
      <c r="D126" s="16"/>
      <c r="E126" s="28"/>
      <c r="F126" s="28"/>
      <c r="G126" s="16"/>
      <c r="H126" s="16"/>
      <c r="I126" s="1"/>
      <c r="J126" s="1"/>
      <c r="K126" s="1"/>
      <c r="L126" s="1"/>
      <c r="M126" s="1"/>
      <c r="N126" s="1"/>
      <c r="O126" s="1"/>
      <c r="P126" s="1"/>
    </row>
    <row r="127" spans="1:16" ht="17" customHeight="1">
      <c r="A127" s="16">
        <v>125</v>
      </c>
      <c r="B127" s="34">
        <v>32</v>
      </c>
      <c r="C127" s="28" t="s">
        <v>241</v>
      </c>
      <c r="D127" s="16" t="s">
        <v>249</v>
      </c>
      <c r="E127" s="28" t="s">
        <v>198</v>
      </c>
      <c r="F127" s="28" t="s">
        <v>250</v>
      </c>
      <c r="G127" s="16" t="s">
        <v>174</v>
      </c>
      <c r="H127" s="16" t="s">
        <v>170</v>
      </c>
      <c r="I127" s="1">
        <v>162</v>
      </c>
      <c r="J127" s="1">
        <v>115</v>
      </c>
      <c r="K127" s="1">
        <v>128</v>
      </c>
      <c r="L127" s="1"/>
      <c r="M127" s="38">
        <f t="shared" ref="M127:M153" si="11">SUM(I127:L127)</f>
        <v>405</v>
      </c>
      <c r="N127" s="1" t="s">
        <v>89</v>
      </c>
      <c r="O127" s="1" t="s">
        <v>425</v>
      </c>
      <c r="P127" s="1"/>
    </row>
    <row r="128" spans="1:16" ht="17" customHeight="1">
      <c r="A128" s="16">
        <v>126</v>
      </c>
      <c r="B128" s="34">
        <v>32</v>
      </c>
      <c r="C128" s="28" t="s">
        <v>241</v>
      </c>
      <c r="D128" s="16" t="s">
        <v>28</v>
      </c>
      <c r="E128" s="28" t="s">
        <v>167</v>
      </c>
      <c r="F128" s="28" t="s">
        <v>251</v>
      </c>
      <c r="G128" s="16" t="s">
        <v>174</v>
      </c>
      <c r="H128" s="16" t="s">
        <v>170</v>
      </c>
      <c r="I128" s="1">
        <v>125</v>
      </c>
      <c r="J128" s="1">
        <v>117</v>
      </c>
      <c r="K128" s="1">
        <v>151</v>
      </c>
      <c r="L128" s="1"/>
      <c r="M128" s="38">
        <f t="shared" si="11"/>
        <v>393</v>
      </c>
      <c r="N128" s="1" t="s">
        <v>89</v>
      </c>
      <c r="O128" s="1" t="s">
        <v>426</v>
      </c>
      <c r="P128" s="1"/>
    </row>
    <row r="129" spans="1:16" ht="17" customHeight="1">
      <c r="A129" s="16">
        <v>127</v>
      </c>
      <c r="B129" s="34">
        <v>32</v>
      </c>
      <c r="C129" s="31" t="s">
        <v>241</v>
      </c>
      <c r="D129" s="32" t="s">
        <v>39</v>
      </c>
      <c r="E129" s="31"/>
      <c r="F129" s="31" t="s">
        <v>40</v>
      </c>
      <c r="G129" s="32" t="s">
        <v>169</v>
      </c>
      <c r="H129" s="32" t="s">
        <v>170</v>
      </c>
      <c r="I129" s="25">
        <v>79</v>
      </c>
      <c r="J129" s="25">
        <v>66</v>
      </c>
      <c r="K129" s="25">
        <v>74</v>
      </c>
      <c r="L129" s="25">
        <v>36</v>
      </c>
      <c r="M129" s="39">
        <f t="shared" si="11"/>
        <v>255</v>
      </c>
      <c r="N129" s="25" t="s">
        <v>94</v>
      </c>
      <c r="O129" s="1"/>
      <c r="P129" s="1"/>
    </row>
    <row r="130" spans="1:16" ht="17" customHeight="1">
      <c r="A130" s="16">
        <v>128</v>
      </c>
      <c r="B130" s="34">
        <v>32</v>
      </c>
      <c r="C130" s="29" t="s">
        <v>241</v>
      </c>
      <c r="D130" s="30" t="s">
        <v>252</v>
      </c>
      <c r="E130" s="29"/>
      <c r="F130" s="29" t="s">
        <v>253</v>
      </c>
      <c r="G130" s="30" t="s">
        <v>174</v>
      </c>
      <c r="H130" s="30" t="s">
        <v>228</v>
      </c>
      <c r="I130" s="26">
        <v>88</v>
      </c>
      <c r="J130" s="26">
        <v>82</v>
      </c>
      <c r="K130" s="26">
        <v>103</v>
      </c>
      <c r="L130" s="26"/>
      <c r="M130" s="26">
        <f t="shared" si="11"/>
        <v>273</v>
      </c>
      <c r="N130" s="26" t="s">
        <v>383</v>
      </c>
      <c r="O130" s="1"/>
      <c r="P130" s="3"/>
    </row>
    <row r="131" spans="1:16" ht="17" customHeight="1">
      <c r="A131" s="16">
        <v>129</v>
      </c>
      <c r="B131" s="34">
        <v>33</v>
      </c>
      <c r="C131" s="28" t="s">
        <v>241</v>
      </c>
      <c r="D131" s="16" t="s">
        <v>254</v>
      </c>
      <c r="E131" s="28"/>
      <c r="F131" s="28" t="s">
        <v>255</v>
      </c>
      <c r="G131" s="16" t="s">
        <v>174</v>
      </c>
      <c r="H131" s="16" t="s">
        <v>170</v>
      </c>
      <c r="I131" s="1">
        <v>106</v>
      </c>
      <c r="J131" s="1">
        <v>105</v>
      </c>
      <c r="K131" s="1">
        <v>105</v>
      </c>
      <c r="L131" s="1"/>
      <c r="M131" s="1">
        <f t="shared" si="11"/>
        <v>316</v>
      </c>
      <c r="N131" s="1" t="s">
        <v>89</v>
      </c>
      <c r="O131" s="1"/>
      <c r="P131" s="1"/>
    </row>
    <row r="132" spans="1:16" ht="17" customHeight="1">
      <c r="A132" s="16">
        <v>130</v>
      </c>
      <c r="B132" s="34">
        <v>33</v>
      </c>
      <c r="C132" s="31" t="s">
        <v>241</v>
      </c>
      <c r="D132" s="32" t="s">
        <v>256</v>
      </c>
      <c r="E132" s="31"/>
      <c r="F132" s="31" t="s">
        <v>257</v>
      </c>
      <c r="G132" s="32" t="s">
        <v>169</v>
      </c>
      <c r="H132" s="32" t="s">
        <v>170</v>
      </c>
      <c r="I132" s="25">
        <v>54</v>
      </c>
      <c r="J132" s="25">
        <v>82</v>
      </c>
      <c r="K132" s="25">
        <v>73</v>
      </c>
      <c r="L132" s="25">
        <v>36</v>
      </c>
      <c r="M132" s="25">
        <f t="shared" si="11"/>
        <v>245</v>
      </c>
      <c r="N132" s="25" t="s">
        <v>94</v>
      </c>
      <c r="O132" s="1" t="s">
        <v>425</v>
      </c>
      <c r="P132" s="1"/>
    </row>
    <row r="133" spans="1:16" ht="17" customHeight="1">
      <c r="A133" s="16">
        <v>131</v>
      </c>
      <c r="B133" s="34">
        <v>33</v>
      </c>
      <c r="C133" s="31" t="s">
        <v>241</v>
      </c>
      <c r="D133" s="32" t="s">
        <v>37</v>
      </c>
      <c r="E133" s="31"/>
      <c r="F133" s="31" t="s">
        <v>38</v>
      </c>
      <c r="G133" s="32" t="s">
        <v>169</v>
      </c>
      <c r="H133" s="32" t="s">
        <v>170</v>
      </c>
      <c r="I133" s="25">
        <v>42</v>
      </c>
      <c r="J133" s="25">
        <v>83</v>
      </c>
      <c r="K133" s="25">
        <v>74</v>
      </c>
      <c r="L133" s="25">
        <v>36</v>
      </c>
      <c r="M133" s="25">
        <f t="shared" si="11"/>
        <v>235</v>
      </c>
      <c r="N133" s="25" t="s">
        <v>94</v>
      </c>
      <c r="O133" s="1" t="s">
        <v>425</v>
      </c>
      <c r="P133" s="1"/>
    </row>
    <row r="134" spans="1:16" ht="17" customHeight="1">
      <c r="A134" s="33">
        <v>132</v>
      </c>
      <c r="B134" s="34">
        <v>33</v>
      </c>
      <c r="C134" s="29" t="s">
        <v>398</v>
      </c>
      <c r="D134" s="30" t="s">
        <v>401</v>
      </c>
      <c r="E134" s="29"/>
      <c r="F134" s="29" t="s">
        <v>402</v>
      </c>
      <c r="G134" s="30" t="s">
        <v>169</v>
      </c>
      <c r="H134" s="30" t="s">
        <v>175</v>
      </c>
      <c r="I134" s="26">
        <v>71</v>
      </c>
      <c r="J134" s="26">
        <v>95</v>
      </c>
      <c r="K134" s="26">
        <v>97</v>
      </c>
      <c r="L134" s="26">
        <v>36</v>
      </c>
      <c r="M134" s="26">
        <f t="shared" si="11"/>
        <v>299</v>
      </c>
      <c r="N134" s="26" t="s">
        <v>383</v>
      </c>
      <c r="O134" s="1"/>
      <c r="P134" s="4"/>
    </row>
    <row r="135" spans="1:16" ht="17" customHeight="1">
      <c r="A135" s="16">
        <v>133</v>
      </c>
      <c r="B135" s="34">
        <v>34</v>
      </c>
      <c r="C135" s="31" t="s">
        <v>241</v>
      </c>
      <c r="D135" s="32" t="s">
        <v>35</v>
      </c>
      <c r="E135" s="31"/>
      <c r="F135" s="31" t="s">
        <v>36</v>
      </c>
      <c r="G135" s="32" t="s">
        <v>169</v>
      </c>
      <c r="H135" s="32" t="s">
        <v>170</v>
      </c>
      <c r="I135" s="25"/>
      <c r="J135" s="25"/>
      <c r="K135" s="25"/>
      <c r="L135" s="25">
        <v>36</v>
      </c>
      <c r="M135" s="25">
        <f t="shared" si="11"/>
        <v>36</v>
      </c>
      <c r="N135" s="25" t="s">
        <v>94</v>
      </c>
      <c r="O135" s="1"/>
      <c r="P135" s="1"/>
    </row>
    <row r="136" spans="1:16" ht="17" customHeight="1">
      <c r="A136" s="33">
        <v>134</v>
      </c>
      <c r="B136" s="34">
        <v>34</v>
      </c>
      <c r="C136" s="29" t="s">
        <v>420</v>
      </c>
      <c r="D136" s="30" t="s">
        <v>421</v>
      </c>
      <c r="E136" s="29"/>
      <c r="F136" s="29"/>
      <c r="G136" s="30" t="s">
        <v>174</v>
      </c>
      <c r="H136" s="30" t="s">
        <v>175</v>
      </c>
      <c r="I136" s="26">
        <v>101</v>
      </c>
      <c r="J136" s="26">
        <v>79</v>
      </c>
      <c r="K136" s="26">
        <v>129</v>
      </c>
      <c r="L136" s="26"/>
      <c r="M136" s="26">
        <f t="shared" si="11"/>
        <v>309</v>
      </c>
      <c r="N136" s="26" t="s">
        <v>383</v>
      </c>
      <c r="O136" s="1" t="s">
        <v>425</v>
      </c>
      <c r="P136" s="1"/>
    </row>
    <row r="137" spans="1:16" ht="17" customHeight="1">
      <c r="A137" s="16">
        <v>135</v>
      </c>
      <c r="B137" s="34">
        <v>34</v>
      </c>
      <c r="C137" s="28" t="s">
        <v>294</v>
      </c>
      <c r="D137" s="16" t="s">
        <v>55</v>
      </c>
      <c r="E137" s="28" t="s">
        <v>178</v>
      </c>
      <c r="F137" s="28" t="s">
        <v>56</v>
      </c>
      <c r="G137" s="16" t="s">
        <v>174</v>
      </c>
      <c r="H137" s="16" t="s">
        <v>170</v>
      </c>
      <c r="I137" s="1">
        <v>174</v>
      </c>
      <c r="J137" s="1">
        <v>129</v>
      </c>
      <c r="K137" s="1">
        <v>127</v>
      </c>
      <c r="L137" s="1"/>
      <c r="M137" s="1">
        <f t="shared" si="11"/>
        <v>430</v>
      </c>
      <c r="N137" s="1" t="s">
        <v>89</v>
      </c>
      <c r="O137" s="1"/>
      <c r="P137" s="4"/>
    </row>
    <row r="138" spans="1:16" ht="17" customHeight="1">
      <c r="A138" s="16">
        <v>136</v>
      </c>
      <c r="B138" s="34">
        <v>34</v>
      </c>
      <c r="C138" s="28" t="s">
        <v>294</v>
      </c>
      <c r="D138" s="16" t="s">
        <v>295</v>
      </c>
      <c r="E138" s="28" t="s">
        <v>198</v>
      </c>
      <c r="F138" s="28" t="s">
        <v>50</v>
      </c>
      <c r="G138" s="16" t="s">
        <v>174</v>
      </c>
      <c r="H138" s="16" t="s">
        <v>170</v>
      </c>
      <c r="I138" s="1">
        <v>108</v>
      </c>
      <c r="J138" s="1">
        <v>52</v>
      </c>
      <c r="K138" s="1">
        <v>76</v>
      </c>
      <c r="L138" s="1"/>
      <c r="M138" s="1">
        <f t="shared" si="11"/>
        <v>236</v>
      </c>
      <c r="N138" s="1" t="s">
        <v>89</v>
      </c>
      <c r="O138" s="1"/>
      <c r="P138" s="4"/>
    </row>
    <row r="139" spans="1:16" ht="17" customHeight="1">
      <c r="A139" s="16">
        <v>137</v>
      </c>
      <c r="B139" s="34">
        <v>35</v>
      </c>
      <c r="C139" s="28" t="s">
        <v>294</v>
      </c>
      <c r="D139" s="16" t="s">
        <v>57</v>
      </c>
      <c r="E139" s="28" t="s">
        <v>198</v>
      </c>
      <c r="F139" s="28" t="s">
        <v>54</v>
      </c>
      <c r="G139" s="16" t="s">
        <v>174</v>
      </c>
      <c r="H139" s="16" t="s">
        <v>170</v>
      </c>
      <c r="I139" s="1">
        <v>184</v>
      </c>
      <c r="J139" s="1">
        <v>114</v>
      </c>
      <c r="K139" s="1">
        <v>150</v>
      </c>
      <c r="L139" s="1"/>
      <c r="M139" s="1">
        <f t="shared" si="11"/>
        <v>448</v>
      </c>
      <c r="N139" s="1" t="s">
        <v>89</v>
      </c>
      <c r="O139" s="1"/>
      <c r="P139" s="4"/>
    </row>
    <row r="140" spans="1:16" ht="17" customHeight="1">
      <c r="A140" s="16">
        <v>138</v>
      </c>
      <c r="B140" s="34">
        <v>35</v>
      </c>
      <c r="C140" s="31" t="s">
        <v>294</v>
      </c>
      <c r="D140" s="32" t="s">
        <v>296</v>
      </c>
      <c r="E140" s="31" t="s">
        <v>171</v>
      </c>
      <c r="F140" s="31" t="s">
        <v>297</v>
      </c>
      <c r="G140" s="32" t="s">
        <v>169</v>
      </c>
      <c r="H140" s="32" t="s">
        <v>170</v>
      </c>
      <c r="I140" s="25">
        <v>89</v>
      </c>
      <c r="J140" s="25">
        <v>83</v>
      </c>
      <c r="K140" s="25">
        <v>77</v>
      </c>
      <c r="L140" s="25">
        <v>36</v>
      </c>
      <c r="M140" s="25">
        <f t="shared" si="11"/>
        <v>285</v>
      </c>
      <c r="N140" s="25" t="s">
        <v>94</v>
      </c>
      <c r="O140" s="1" t="s">
        <v>425</v>
      </c>
      <c r="P140" s="4"/>
    </row>
    <row r="141" spans="1:16" ht="17" customHeight="1">
      <c r="A141" s="16">
        <v>139</v>
      </c>
      <c r="B141" s="34">
        <v>35</v>
      </c>
      <c r="C141" s="31" t="s">
        <v>294</v>
      </c>
      <c r="D141" s="32" t="s">
        <v>298</v>
      </c>
      <c r="E141" s="31"/>
      <c r="F141" s="31" t="s">
        <v>299</v>
      </c>
      <c r="G141" s="32" t="s">
        <v>169</v>
      </c>
      <c r="H141" s="32" t="s">
        <v>170</v>
      </c>
      <c r="I141" s="25">
        <v>89</v>
      </c>
      <c r="J141" s="25">
        <v>81</v>
      </c>
      <c r="K141" s="25">
        <v>85</v>
      </c>
      <c r="L141" s="25">
        <v>36</v>
      </c>
      <c r="M141" s="25">
        <f t="shared" si="11"/>
        <v>291</v>
      </c>
      <c r="N141" s="25" t="s">
        <v>94</v>
      </c>
      <c r="O141" s="1"/>
      <c r="P141" s="4"/>
    </row>
    <row r="142" spans="1:16" ht="17" customHeight="1">
      <c r="A142" s="33">
        <v>140</v>
      </c>
      <c r="B142" s="34">
        <v>35</v>
      </c>
      <c r="C142" s="28" t="s">
        <v>398</v>
      </c>
      <c r="D142" s="16" t="s">
        <v>399</v>
      </c>
      <c r="E142" s="28" t="s">
        <v>178</v>
      </c>
      <c r="F142" s="28" t="s">
        <v>400</v>
      </c>
      <c r="G142" s="16" t="s">
        <v>174</v>
      </c>
      <c r="H142" s="16" t="s">
        <v>170</v>
      </c>
      <c r="I142" s="1">
        <v>113</v>
      </c>
      <c r="J142" s="1">
        <v>115</v>
      </c>
      <c r="K142" s="1">
        <v>161</v>
      </c>
      <c r="L142" s="1"/>
      <c r="M142" s="1">
        <f t="shared" si="11"/>
        <v>389</v>
      </c>
      <c r="N142" s="1" t="s">
        <v>89</v>
      </c>
      <c r="O142" s="1" t="s">
        <v>437</v>
      </c>
      <c r="P142" s="4"/>
    </row>
    <row r="143" spans="1:16" ht="17" customHeight="1">
      <c r="A143" s="16">
        <v>141</v>
      </c>
      <c r="B143" s="34">
        <v>36</v>
      </c>
      <c r="C143" s="28" t="s">
        <v>261</v>
      </c>
      <c r="D143" s="16" t="s">
        <v>262</v>
      </c>
      <c r="E143" s="28" t="s">
        <v>221</v>
      </c>
      <c r="F143" s="28" t="s">
        <v>263</v>
      </c>
      <c r="G143" s="16" t="s">
        <v>174</v>
      </c>
      <c r="H143" s="16" t="s">
        <v>170</v>
      </c>
      <c r="I143" s="1">
        <v>139</v>
      </c>
      <c r="J143" s="1">
        <v>114</v>
      </c>
      <c r="K143" s="1">
        <v>117</v>
      </c>
      <c r="L143" s="1"/>
      <c r="M143" s="1">
        <f t="shared" si="11"/>
        <v>370</v>
      </c>
      <c r="N143" s="1" t="s">
        <v>89</v>
      </c>
      <c r="O143" s="1" t="s">
        <v>425</v>
      </c>
      <c r="P143" s="4"/>
    </row>
    <row r="144" spans="1:16" ht="17" customHeight="1">
      <c r="A144" s="16">
        <v>142</v>
      </c>
      <c r="B144" s="34">
        <v>36</v>
      </c>
      <c r="C144" s="28" t="s">
        <v>261</v>
      </c>
      <c r="D144" s="16" t="s">
        <v>264</v>
      </c>
      <c r="E144" s="28"/>
      <c r="F144" s="28" t="s">
        <v>265</v>
      </c>
      <c r="G144" s="16" t="s">
        <v>174</v>
      </c>
      <c r="H144" s="16" t="s">
        <v>170</v>
      </c>
      <c r="I144" s="1">
        <v>129</v>
      </c>
      <c r="J144" s="1">
        <v>196</v>
      </c>
      <c r="K144" s="1">
        <v>171</v>
      </c>
      <c r="L144" s="1"/>
      <c r="M144" s="1">
        <f t="shared" si="11"/>
        <v>496</v>
      </c>
      <c r="N144" s="1" t="s">
        <v>89</v>
      </c>
      <c r="O144" s="1" t="s">
        <v>442</v>
      </c>
      <c r="P144" s="4"/>
    </row>
    <row r="145" spans="1:16" ht="17" customHeight="1">
      <c r="A145" s="16">
        <v>143</v>
      </c>
      <c r="B145" s="34">
        <v>36</v>
      </c>
      <c r="C145" s="28" t="s">
        <v>261</v>
      </c>
      <c r="D145" s="16" t="s">
        <v>266</v>
      </c>
      <c r="E145" s="28"/>
      <c r="F145" s="28" t="s">
        <v>267</v>
      </c>
      <c r="G145" s="16" t="s">
        <v>174</v>
      </c>
      <c r="H145" s="16" t="s">
        <v>170</v>
      </c>
      <c r="I145" s="1">
        <v>145</v>
      </c>
      <c r="J145" s="1">
        <v>140</v>
      </c>
      <c r="K145" s="1">
        <v>123</v>
      </c>
      <c r="L145" s="1"/>
      <c r="M145" s="1">
        <f t="shared" si="11"/>
        <v>408</v>
      </c>
      <c r="N145" s="1" t="s">
        <v>89</v>
      </c>
      <c r="O145" s="1"/>
      <c r="P145" s="4"/>
    </row>
    <row r="146" spans="1:16" ht="17" customHeight="1">
      <c r="A146" s="16">
        <v>144</v>
      </c>
      <c r="B146" s="34">
        <v>36</v>
      </c>
      <c r="C146" s="31" t="s">
        <v>166</v>
      </c>
      <c r="D146" s="32" t="s">
        <v>8</v>
      </c>
      <c r="E146" s="31" t="s">
        <v>167</v>
      </c>
      <c r="F146" s="31" t="s">
        <v>168</v>
      </c>
      <c r="G146" s="32" t="s">
        <v>169</v>
      </c>
      <c r="H146" s="32" t="s">
        <v>170</v>
      </c>
      <c r="I146" s="25">
        <v>97</v>
      </c>
      <c r="J146" s="25">
        <v>140</v>
      </c>
      <c r="K146" s="25">
        <v>86</v>
      </c>
      <c r="L146" s="25">
        <v>36</v>
      </c>
      <c r="M146" s="25">
        <f t="shared" si="11"/>
        <v>359</v>
      </c>
      <c r="N146" s="25" t="s">
        <v>94</v>
      </c>
      <c r="O146" s="1" t="s">
        <v>427</v>
      </c>
      <c r="P146" s="22" t="s">
        <v>390</v>
      </c>
    </row>
    <row r="147" spans="1:16" ht="17" customHeight="1">
      <c r="A147" s="16">
        <v>145</v>
      </c>
      <c r="B147" s="34">
        <v>37</v>
      </c>
      <c r="C147" s="31" t="s">
        <v>166</v>
      </c>
      <c r="D147" s="32" t="s">
        <v>9</v>
      </c>
      <c r="E147" s="31" t="s">
        <v>171</v>
      </c>
      <c r="F147" s="31" t="s">
        <v>172</v>
      </c>
      <c r="G147" s="32" t="s">
        <v>169</v>
      </c>
      <c r="H147" s="32" t="s">
        <v>170</v>
      </c>
      <c r="I147" s="25">
        <v>105</v>
      </c>
      <c r="J147" s="25">
        <v>144</v>
      </c>
      <c r="K147" s="25">
        <v>109</v>
      </c>
      <c r="L147" s="25">
        <v>36</v>
      </c>
      <c r="M147" s="25">
        <f t="shared" si="11"/>
        <v>394</v>
      </c>
      <c r="N147" s="25" t="s">
        <v>94</v>
      </c>
      <c r="O147" s="1" t="s">
        <v>434</v>
      </c>
      <c r="P147" s="41">
        <v>2545</v>
      </c>
    </row>
    <row r="148" spans="1:16" ht="17" customHeight="1">
      <c r="A148" s="16">
        <v>146</v>
      </c>
      <c r="B148" s="34">
        <v>37</v>
      </c>
      <c r="C148" s="29" t="s">
        <v>166</v>
      </c>
      <c r="D148" s="30" t="s">
        <v>173</v>
      </c>
      <c r="E148" s="29"/>
      <c r="F148" s="29" t="s">
        <v>10</v>
      </c>
      <c r="G148" s="30" t="s">
        <v>174</v>
      </c>
      <c r="H148" s="30" t="s">
        <v>175</v>
      </c>
      <c r="I148" s="26">
        <v>128</v>
      </c>
      <c r="J148" s="26">
        <v>107</v>
      </c>
      <c r="K148" s="26">
        <v>131</v>
      </c>
      <c r="L148" s="26"/>
      <c r="M148" s="26">
        <f t="shared" si="11"/>
        <v>366</v>
      </c>
      <c r="N148" s="26" t="s">
        <v>383</v>
      </c>
      <c r="O148" s="1" t="s">
        <v>425</v>
      </c>
      <c r="P148" s="3"/>
    </row>
    <row r="149" spans="1:16" ht="17" customHeight="1">
      <c r="A149" s="16">
        <v>147</v>
      </c>
      <c r="B149" s="34">
        <v>37</v>
      </c>
      <c r="C149" s="31" t="s">
        <v>166</v>
      </c>
      <c r="D149" s="32" t="s">
        <v>11</v>
      </c>
      <c r="E149" s="31"/>
      <c r="F149" s="31" t="s">
        <v>12</v>
      </c>
      <c r="G149" s="32" t="s">
        <v>169</v>
      </c>
      <c r="H149" s="32" t="s">
        <v>170</v>
      </c>
      <c r="I149" s="25">
        <v>103</v>
      </c>
      <c r="J149" s="25">
        <v>96</v>
      </c>
      <c r="K149" s="25">
        <v>150</v>
      </c>
      <c r="L149" s="25">
        <v>36</v>
      </c>
      <c r="M149" s="25">
        <f t="shared" si="11"/>
        <v>385</v>
      </c>
      <c r="N149" s="25" t="s">
        <v>94</v>
      </c>
      <c r="O149" s="1" t="s">
        <v>437</v>
      </c>
      <c r="P149" s="3"/>
    </row>
    <row r="150" spans="1:16" ht="17" customHeight="1">
      <c r="A150" s="33">
        <v>148</v>
      </c>
      <c r="B150" s="34">
        <v>37</v>
      </c>
      <c r="C150" s="28" t="s">
        <v>166</v>
      </c>
      <c r="D150" s="16" t="s">
        <v>403</v>
      </c>
      <c r="E150" s="28" t="s">
        <v>404</v>
      </c>
      <c r="F150" s="28" t="s">
        <v>405</v>
      </c>
      <c r="G150" s="16" t="s">
        <v>174</v>
      </c>
      <c r="H150" s="16" t="s">
        <v>170</v>
      </c>
      <c r="I150" s="1"/>
      <c r="J150" s="1"/>
      <c r="K150" s="1"/>
      <c r="L150" s="1"/>
      <c r="M150" s="1">
        <f t="shared" si="11"/>
        <v>0</v>
      </c>
      <c r="N150" s="1" t="s">
        <v>89</v>
      </c>
      <c r="O150" s="1"/>
      <c r="P150" s="27"/>
    </row>
    <row r="151" spans="1:16" ht="17" customHeight="1">
      <c r="A151" s="16">
        <v>149</v>
      </c>
      <c r="B151" s="34">
        <v>38</v>
      </c>
      <c r="C151" s="29" t="s">
        <v>166</v>
      </c>
      <c r="D151" s="30" t="s">
        <v>13</v>
      </c>
      <c r="E151" s="29"/>
      <c r="F151" s="29" t="s">
        <v>14</v>
      </c>
      <c r="G151" s="30" t="s">
        <v>174</v>
      </c>
      <c r="H151" s="30" t="s">
        <v>175</v>
      </c>
      <c r="I151" s="26">
        <v>101</v>
      </c>
      <c r="J151" s="26">
        <v>134</v>
      </c>
      <c r="K151" s="26">
        <v>99</v>
      </c>
      <c r="L151" s="26"/>
      <c r="M151" s="26">
        <f t="shared" si="11"/>
        <v>334</v>
      </c>
      <c r="N151" s="26" t="s">
        <v>383</v>
      </c>
      <c r="O151" s="1" t="s">
        <v>426</v>
      </c>
      <c r="P151" s="3"/>
    </row>
    <row r="152" spans="1:16" ht="17" customHeight="1">
      <c r="A152" s="16">
        <v>150</v>
      </c>
      <c r="B152" s="34">
        <v>38</v>
      </c>
      <c r="C152" s="31" t="s">
        <v>176</v>
      </c>
      <c r="D152" s="32" t="s">
        <v>177</v>
      </c>
      <c r="E152" s="31" t="s">
        <v>178</v>
      </c>
      <c r="F152" s="31" t="s">
        <v>179</v>
      </c>
      <c r="G152" s="32" t="s">
        <v>169</v>
      </c>
      <c r="H152" s="32" t="s">
        <v>170</v>
      </c>
      <c r="I152" s="25">
        <v>87</v>
      </c>
      <c r="J152" s="25">
        <v>107</v>
      </c>
      <c r="K152" s="25">
        <v>83</v>
      </c>
      <c r="L152" s="25">
        <v>36</v>
      </c>
      <c r="M152" s="25">
        <f t="shared" si="11"/>
        <v>313</v>
      </c>
      <c r="N152" s="25" t="s">
        <v>94</v>
      </c>
      <c r="O152" s="1" t="s">
        <v>426</v>
      </c>
      <c r="P152" s="3"/>
    </row>
    <row r="153" spans="1:16" ht="17" customHeight="1">
      <c r="A153" s="16">
        <v>151</v>
      </c>
      <c r="B153" s="34">
        <v>38</v>
      </c>
      <c r="C153" s="31" t="s">
        <v>176</v>
      </c>
      <c r="D153" s="32" t="s">
        <v>15</v>
      </c>
      <c r="E153" s="31" t="s">
        <v>180</v>
      </c>
      <c r="F153" s="31" t="s">
        <v>181</v>
      </c>
      <c r="G153" s="32" t="s">
        <v>169</v>
      </c>
      <c r="H153" s="32" t="s">
        <v>170</v>
      </c>
      <c r="I153" s="25">
        <v>104</v>
      </c>
      <c r="J153" s="25">
        <v>85</v>
      </c>
      <c r="K153" s="25">
        <v>88</v>
      </c>
      <c r="L153" s="25">
        <v>36</v>
      </c>
      <c r="M153" s="25">
        <f t="shared" si="11"/>
        <v>313</v>
      </c>
      <c r="N153" s="25" t="s">
        <v>94</v>
      </c>
      <c r="O153" s="1" t="s">
        <v>425</v>
      </c>
      <c r="P153" s="3"/>
    </row>
    <row r="154" spans="1:16" ht="17" customHeight="1">
      <c r="A154" s="16">
        <v>152</v>
      </c>
      <c r="B154" s="34">
        <v>38</v>
      </c>
      <c r="C154" s="28"/>
      <c r="D154" s="16"/>
      <c r="E154" s="28"/>
      <c r="F154" s="28"/>
      <c r="G154" s="16"/>
      <c r="H154" s="16"/>
      <c r="I154" s="1"/>
      <c r="J154" s="1"/>
      <c r="K154" s="1"/>
      <c r="L154" s="1"/>
      <c r="M154" s="1"/>
      <c r="N154" s="1"/>
      <c r="O154" s="1"/>
      <c r="P154" s="27"/>
    </row>
    <row r="155" spans="1:16" ht="17" customHeight="1">
      <c r="A155" s="16">
        <v>153</v>
      </c>
      <c r="B155" s="34">
        <v>39</v>
      </c>
      <c r="C155" s="31" t="s">
        <v>176</v>
      </c>
      <c r="D155" s="32" t="s">
        <v>182</v>
      </c>
      <c r="E155" s="31" t="s">
        <v>183</v>
      </c>
      <c r="F155" s="31" t="s">
        <v>184</v>
      </c>
      <c r="G155" s="32" t="s">
        <v>169</v>
      </c>
      <c r="H155" s="32" t="s">
        <v>170</v>
      </c>
      <c r="I155" s="25">
        <v>80</v>
      </c>
      <c r="J155" s="25">
        <v>93</v>
      </c>
      <c r="K155" s="25">
        <v>94</v>
      </c>
      <c r="L155" s="25">
        <v>36</v>
      </c>
      <c r="M155" s="25">
        <f>SUM(I155:L155)</f>
        <v>303</v>
      </c>
      <c r="N155" s="25" t="s">
        <v>94</v>
      </c>
      <c r="O155" s="1" t="s">
        <v>436</v>
      </c>
      <c r="P155" s="1"/>
    </row>
    <row r="156" spans="1:16" ht="17" customHeight="1">
      <c r="A156" s="16">
        <v>154</v>
      </c>
      <c r="B156" s="34">
        <v>39</v>
      </c>
      <c r="C156" s="31" t="s">
        <v>176</v>
      </c>
      <c r="D156" s="32" t="s">
        <v>16</v>
      </c>
      <c r="E156" s="31"/>
      <c r="F156" s="31" t="s">
        <v>17</v>
      </c>
      <c r="G156" s="32" t="s">
        <v>169</v>
      </c>
      <c r="H156" s="32" t="s">
        <v>170</v>
      </c>
      <c r="I156" s="25">
        <v>114</v>
      </c>
      <c r="J156" s="25">
        <v>114</v>
      </c>
      <c r="K156" s="25">
        <v>151</v>
      </c>
      <c r="L156" s="25">
        <v>36</v>
      </c>
      <c r="M156" s="25">
        <f>SUM(I156:L156)</f>
        <v>415</v>
      </c>
      <c r="N156" s="25" t="s">
        <v>94</v>
      </c>
      <c r="O156" s="1"/>
      <c r="P156" s="1"/>
    </row>
    <row r="157" spans="1:16" ht="17" customHeight="1">
      <c r="A157" s="16">
        <v>155</v>
      </c>
      <c r="B157" s="34">
        <v>39</v>
      </c>
      <c r="C157" s="31" t="s">
        <v>176</v>
      </c>
      <c r="D157" s="32" t="s">
        <v>18</v>
      </c>
      <c r="E157" s="31"/>
      <c r="F157" s="31" t="s">
        <v>19</v>
      </c>
      <c r="G157" s="32" t="s">
        <v>169</v>
      </c>
      <c r="H157" s="32" t="s">
        <v>170</v>
      </c>
      <c r="I157" s="25">
        <v>122</v>
      </c>
      <c r="J157" s="25">
        <v>120</v>
      </c>
      <c r="K157" s="25">
        <v>88</v>
      </c>
      <c r="L157" s="25">
        <v>36</v>
      </c>
      <c r="M157" s="25">
        <f>SUM(I157:L157)</f>
        <v>366</v>
      </c>
      <c r="N157" s="25" t="s">
        <v>94</v>
      </c>
      <c r="O157" s="1" t="s">
        <v>435</v>
      </c>
      <c r="P157" s="1"/>
    </row>
    <row r="158" spans="1:16" ht="17" customHeight="1">
      <c r="A158" s="16">
        <v>156</v>
      </c>
      <c r="B158" s="34">
        <v>39</v>
      </c>
      <c r="C158" s="28"/>
      <c r="D158" s="16"/>
      <c r="E158" s="28"/>
      <c r="F158" s="28"/>
      <c r="G158" s="16"/>
      <c r="H158" s="16"/>
      <c r="I158" s="1"/>
      <c r="J158" s="1"/>
      <c r="K158" s="1"/>
      <c r="L158" s="1"/>
      <c r="M158" s="1"/>
      <c r="N158" s="1"/>
      <c r="O158" s="1"/>
      <c r="P158" s="1"/>
    </row>
    <row r="159" spans="1:16" ht="17" customHeight="1">
      <c r="A159" s="16">
        <v>157</v>
      </c>
      <c r="B159" s="34">
        <v>40</v>
      </c>
      <c r="C159" s="31" t="s">
        <v>176</v>
      </c>
      <c r="D159" s="32" t="s">
        <v>185</v>
      </c>
      <c r="E159" s="31"/>
      <c r="F159" s="31" t="s">
        <v>186</v>
      </c>
      <c r="G159" s="32" t="s">
        <v>169</v>
      </c>
      <c r="H159" s="32" t="s">
        <v>170</v>
      </c>
      <c r="I159" s="25">
        <v>39</v>
      </c>
      <c r="J159" s="25">
        <v>89</v>
      </c>
      <c r="K159" s="25">
        <v>84</v>
      </c>
      <c r="L159" s="25">
        <v>36</v>
      </c>
      <c r="M159" s="25">
        <f>SUM(I159:L159)</f>
        <v>248</v>
      </c>
      <c r="N159" s="25" t="s">
        <v>94</v>
      </c>
      <c r="O159" s="1" t="s">
        <v>436</v>
      </c>
      <c r="P159" s="1"/>
    </row>
    <row r="160" spans="1:16" ht="17" customHeight="1">
      <c r="A160" s="16">
        <v>158</v>
      </c>
      <c r="B160" s="34">
        <v>40</v>
      </c>
      <c r="C160" s="29" t="s">
        <v>176</v>
      </c>
      <c r="D160" s="30" t="s">
        <v>187</v>
      </c>
      <c r="E160" s="29"/>
      <c r="F160" s="29" t="s">
        <v>188</v>
      </c>
      <c r="G160" s="30" t="s">
        <v>174</v>
      </c>
      <c r="H160" s="30" t="s">
        <v>228</v>
      </c>
      <c r="I160" s="26">
        <v>95</v>
      </c>
      <c r="J160" s="26">
        <v>69</v>
      </c>
      <c r="K160" s="26">
        <v>87</v>
      </c>
      <c r="L160" s="26"/>
      <c r="M160" s="26">
        <f>SUM(I160:L160)</f>
        <v>251</v>
      </c>
      <c r="N160" s="26" t="s">
        <v>383</v>
      </c>
      <c r="O160" s="1" t="s">
        <v>426</v>
      </c>
      <c r="P160" s="1"/>
    </row>
    <row r="161" spans="1:16" ht="17" customHeight="1">
      <c r="A161" s="16">
        <v>159</v>
      </c>
      <c r="B161" s="34">
        <v>40</v>
      </c>
      <c r="C161" s="29" t="s">
        <v>176</v>
      </c>
      <c r="D161" s="30" t="s">
        <v>189</v>
      </c>
      <c r="E161" s="29"/>
      <c r="F161" s="29" t="s">
        <v>190</v>
      </c>
      <c r="G161" s="30" t="s">
        <v>174</v>
      </c>
      <c r="H161" s="30" t="s">
        <v>228</v>
      </c>
      <c r="I161" s="26">
        <v>109</v>
      </c>
      <c r="J161" s="26">
        <v>64</v>
      </c>
      <c r="K161" s="26">
        <v>64</v>
      </c>
      <c r="L161" s="26"/>
      <c r="M161" s="26">
        <f>SUM(I161:L161)</f>
        <v>237</v>
      </c>
      <c r="N161" s="26" t="s">
        <v>383</v>
      </c>
      <c r="O161" s="1"/>
      <c r="P161" s="1"/>
    </row>
    <row r="162" spans="1:16" ht="17" customHeight="1">
      <c r="A162" s="16">
        <v>160</v>
      </c>
      <c r="B162" s="34">
        <v>40</v>
      </c>
      <c r="C162" s="28"/>
      <c r="D162" s="16"/>
      <c r="E162" s="28"/>
      <c r="F162" s="28"/>
      <c r="G162" s="16"/>
      <c r="H162" s="16"/>
      <c r="I162" s="1"/>
      <c r="J162" s="1"/>
      <c r="K162" s="1"/>
      <c r="L162" s="1"/>
      <c r="M162" s="1"/>
      <c r="N162" s="1"/>
      <c r="O162" s="1"/>
      <c r="P162" s="1"/>
    </row>
  </sheetData>
  <autoFilter ref="A2:P162" xr:uid="{860B255A-4513-4E43-AEA4-D835803EB8B4}">
    <sortState xmlns:xlrd2="http://schemas.microsoft.com/office/spreadsheetml/2017/richdata2" ref="A3:P159">
      <sortCondition ref="A2:A162"/>
    </sortState>
  </autoFilter>
  <phoneticPr fontId="1" type="noConversion"/>
  <pageMargins left="0.7" right="0.7" top="0.75" bottom="0.75" header="0.3" footer="0.3"/>
  <pageSetup paperSize="9" scale="25" orientation="portrait" horizontalDpi="0" verticalDpi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ACFF0-A890-4346-9026-C43DD8677CE4}">
  <sheetPr>
    <pageSetUpPr fitToPage="1"/>
  </sheetPr>
  <dimension ref="A2:AQ22"/>
  <sheetViews>
    <sheetView zoomScale="140" workbookViewId="0">
      <selection activeCell="AP13" sqref="AP13"/>
    </sheetView>
  </sheetViews>
  <sheetFormatPr baseColWidth="10" defaultRowHeight="15"/>
  <cols>
    <col min="1" max="1" width="12.1640625" style="6" customWidth="1"/>
    <col min="2" max="41" width="2.83203125" style="6" customWidth="1"/>
    <col min="42" max="16384" width="10.83203125" style="6"/>
  </cols>
  <sheetData>
    <row r="2" spans="1:43" ht="24" customHeight="1">
      <c r="A2" s="7" t="s">
        <v>0</v>
      </c>
      <c r="B2" s="7">
        <v>1</v>
      </c>
      <c r="C2" s="7">
        <v>2</v>
      </c>
      <c r="D2" s="7">
        <v>3</v>
      </c>
      <c r="E2" s="7">
        <v>4</v>
      </c>
      <c r="F2" s="7">
        <v>5</v>
      </c>
      <c r="G2" s="7">
        <v>6</v>
      </c>
      <c r="H2" s="7">
        <v>7</v>
      </c>
      <c r="I2" s="7">
        <v>8</v>
      </c>
      <c r="J2" s="7">
        <v>9</v>
      </c>
      <c r="K2" s="7">
        <v>10</v>
      </c>
      <c r="L2" s="7">
        <v>11</v>
      </c>
      <c r="M2" s="7">
        <v>12</v>
      </c>
      <c r="N2" s="7">
        <v>13</v>
      </c>
      <c r="O2" s="7">
        <v>14</v>
      </c>
      <c r="P2" s="7">
        <v>15</v>
      </c>
      <c r="Q2" s="7">
        <v>16</v>
      </c>
      <c r="R2" s="7">
        <v>17</v>
      </c>
      <c r="S2" s="7">
        <v>18</v>
      </c>
      <c r="T2" s="7">
        <v>19</v>
      </c>
      <c r="U2" s="7">
        <v>20</v>
      </c>
      <c r="V2" s="7">
        <v>21</v>
      </c>
      <c r="W2" s="7">
        <v>22</v>
      </c>
      <c r="X2" s="7">
        <v>23</v>
      </c>
      <c r="Y2" s="7">
        <v>24</v>
      </c>
      <c r="Z2" s="7">
        <v>25</v>
      </c>
      <c r="AA2" s="7">
        <v>26</v>
      </c>
      <c r="AB2" s="7">
        <v>27</v>
      </c>
      <c r="AC2" s="7">
        <v>28</v>
      </c>
      <c r="AD2" s="7">
        <v>29</v>
      </c>
      <c r="AE2" s="7">
        <v>30</v>
      </c>
      <c r="AF2" s="7">
        <v>31</v>
      </c>
      <c r="AG2" s="7">
        <v>32</v>
      </c>
      <c r="AH2" s="7">
        <v>33</v>
      </c>
      <c r="AI2" s="7">
        <v>34</v>
      </c>
      <c r="AJ2" s="7">
        <v>35</v>
      </c>
      <c r="AK2" s="7">
        <v>36</v>
      </c>
      <c r="AL2" s="7">
        <v>37</v>
      </c>
      <c r="AM2" s="7">
        <v>38</v>
      </c>
      <c r="AN2" s="7">
        <v>39</v>
      </c>
      <c r="AO2" s="7">
        <v>40</v>
      </c>
    </row>
    <row r="3" spans="1:43" ht="24" customHeight="1">
      <c r="A3" s="7" t="s">
        <v>91</v>
      </c>
      <c r="B3" s="42">
        <v>1</v>
      </c>
      <c r="C3" s="43"/>
      <c r="D3" s="43"/>
      <c r="E3" s="44"/>
      <c r="F3" s="42">
        <v>2</v>
      </c>
      <c r="G3" s="43"/>
      <c r="H3" s="43"/>
      <c r="I3" s="44"/>
      <c r="J3" s="42">
        <v>3</v>
      </c>
      <c r="K3" s="43"/>
      <c r="L3" s="43"/>
      <c r="M3" s="44"/>
      <c r="N3" s="42">
        <v>4</v>
      </c>
      <c r="O3" s="43"/>
      <c r="P3" s="43"/>
      <c r="Q3" s="44"/>
      <c r="R3" s="42">
        <v>5</v>
      </c>
      <c r="S3" s="43"/>
      <c r="T3" s="43"/>
      <c r="U3" s="44"/>
      <c r="V3" s="42">
        <v>6</v>
      </c>
      <c r="W3" s="43"/>
      <c r="X3" s="43"/>
      <c r="Y3" s="44"/>
      <c r="Z3" s="42">
        <v>7</v>
      </c>
      <c r="AA3" s="43"/>
      <c r="AB3" s="43"/>
      <c r="AC3" s="44"/>
      <c r="AD3" s="42">
        <v>8</v>
      </c>
      <c r="AE3" s="43"/>
      <c r="AF3" s="43"/>
      <c r="AG3" s="44"/>
      <c r="AH3" s="42">
        <v>9</v>
      </c>
      <c r="AI3" s="43"/>
      <c r="AJ3" s="43"/>
      <c r="AK3" s="44"/>
      <c r="AL3" s="42">
        <v>10</v>
      </c>
      <c r="AM3" s="43"/>
      <c r="AN3" s="43"/>
      <c r="AO3" s="44"/>
      <c r="AP3"/>
      <c r="AQ3"/>
    </row>
    <row r="4" spans="1:43" ht="24" customHeight="1" thickBot="1"/>
    <row r="5" spans="1:43" ht="24" customHeight="1" thickBot="1">
      <c r="A5" s="9" t="s">
        <v>393</v>
      </c>
      <c r="B5" s="6" t="s">
        <v>92</v>
      </c>
      <c r="C5" s="8" t="s">
        <v>93</v>
      </c>
      <c r="V5" s="45" t="s">
        <v>460</v>
      </c>
      <c r="W5" s="46"/>
      <c r="X5" s="46"/>
      <c r="Y5" s="47"/>
      <c r="Z5" s="6" t="s">
        <v>92</v>
      </c>
      <c r="AA5" s="8" t="s">
        <v>101</v>
      </c>
    </row>
    <row r="6" spans="1:43" ht="25" customHeight="1">
      <c r="C6" s="8" t="s">
        <v>97</v>
      </c>
      <c r="AA6" s="8" t="s">
        <v>102</v>
      </c>
    </row>
    <row r="7" spans="1:43" ht="25" customHeight="1" thickBot="1">
      <c r="C7" s="8" t="s">
        <v>96</v>
      </c>
    </row>
    <row r="8" spans="1:43" ht="25" customHeight="1" thickBot="1">
      <c r="C8" s="8" t="s">
        <v>98</v>
      </c>
      <c r="V8" s="45" t="s">
        <v>409</v>
      </c>
      <c r="W8" s="46"/>
      <c r="X8" s="46"/>
      <c r="Y8" s="47"/>
      <c r="Z8" s="6" t="s">
        <v>92</v>
      </c>
      <c r="AA8" s="8" t="s">
        <v>103</v>
      </c>
    </row>
    <row r="9" spans="1:43" ht="25" customHeight="1">
      <c r="C9" s="8" t="s">
        <v>408</v>
      </c>
    </row>
    <row r="10" spans="1:43" ht="25" customHeight="1">
      <c r="C10" s="8" t="s">
        <v>397</v>
      </c>
    </row>
    <row r="11" spans="1:43" ht="25" customHeight="1">
      <c r="C11" s="8" t="s">
        <v>99</v>
      </c>
    </row>
    <row r="12" spans="1:43" ht="25" customHeight="1">
      <c r="C12" s="8" t="s">
        <v>95</v>
      </c>
    </row>
    <row r="13" spans="1:43" ht="25" customHeight="1">
      <c r="C13" s="8" t="s">
        <v>100</v>
      </c>
    </row>
    <row r="14" spans="1:43" ht="25" customHeight="1"/>
    <row r="15" spans="1:43" ht="25" customHeight="1">
      <c r="D15" s="8"/>
    </row>
    <row r="16" spans="1:43" ht="25" customHeight="1">
      <c r="D16" s="8"/>
    </row>
    <row r="17" spans="3:4" ht="25" customHeight="1">
      <c r="D17" s="8"/>
    </row>
    <row r="18" spans="3:4" ht="25" customHeight="1">
      <c r="D18" s="8"/>
    </row>
    <row r="19" spans="3:4" ht="25" customHeight="1">
      <c r="C19" s="8"/>
    </row>
    <row r="20" spans="3:4" ht="25" customHeight="1"/>
    <row r="21" spans="3:4" ht="25" customHeight="1"/>
    <row r="22" spans="3:4" ht="25" customHeight="1"/>
  </sheetData>
  <mergeCells count="12">
    <mergeCell ref="V8:Y8"/>
    <mergeCell ref="B3:E3"/>
    <mergeCell ref="F3:I3"/>
    <mergeCell ref="J3:M3"/>
    <mergeCell ref="N3:Q3"/>
    <mergeCell ref="R3:U3"/>
    <mergeCell ref="V3:Y3"/>
    <mergeCell ref="Z3:AC3"/>
    <mergeCell ref="AD3:AG3"/>
    <mergeCell ref="AH3:AK3"/>
    <mergeCell ref="AL3:AO3"/>
    <mergeCell ref="V5:Y5"/>
  </mergeCells>
  <phoneticPr fontId="1" type="noConversion"/>
  <pageMargins left="0.7" right="0.7" top="0.75" bottom="0.75" header="0.3" footer="0.3"/>
  <pageSetup paperSize="9" scale="98" orientation="landscape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456E5A-BDEB-4D43-9721-D21F29695F77}">
  <sheetPr>
    <pageSetUpPr fitToPage="1"/>
  </sheetPr>
  <dimension ref="A2:AQ22"/>
  <sheetViews>
    <sheetView topLeftCell="A7" zoomScale="216" workbookViewId="0">
      <selection activeCell="S18" sqref="S18"/>
    </sheetView>
  </sheetViews>
  <sheetFormatPr baseColWidth="10" defaultRowHeight="15"/>
  <cols>
    <col min="1" max="1" width="12.1640625" style="6" customWidth="1"/>
    <col min="2" max="41" width="2.83203125" style="6" customWidth="1"/>
    <col min="42" max="16384" width="10.83203125" style="6"/>
  </cols>
  <sheetData>
    <row r="2" spans="1:43" ht="24" customHeight="1">
      <c r="A2" s="7" t="s">
        <v>0</v>
      </c>
      <c r="B2" s="7">
        <v>1</v>
      </c>
      <c r="C2" s="7">
        <v>2</v>
      </c>
      <c r="D2" s="7">
        <v>3</v>
      </c>
      <c r="E2" s="7">
        <v>4</v>
      </c>
      <c r="F2" s="7">
        <v>5</v>
      </c>
      <c r="G2" s="7">
        <v>6</v>
      </c>
      <c r="H2" s="7">
        <v>7</v>
      </c>
      <c r="I2" s="7">
        <v>8</v>
      </c>
      <c r="J2" s="7">
        <v>9</v>
      </c>
      <c r="K2" s="7">
        <v>10</v>
      </c>
      <c r="L2" s="7">
        <v>11</v>
      </c>
      <c r="M2" s="7">
        <v>12</v>
      </c>
      <c r="N2" s="7">
        <v>13</v>
      </c>
      <c r="O2" s="7">
        <v>14</v>
      </c>
      <c r="P2" s="7">
        <v>15</v>
      </c>
      <c r="Q2" s="7">
        <v>16</v>
      </c>
      <c r="R2" s="7">
        <v>17</v>
      </c>
      <c r="S2" s="7">
        <v>18</v>
      </c>
      <c r="T2" s="7">
        <v>19</v>
      </c>
      <c r="U2" s="7">
        <v>20</v>
      </c>
      <c r="V2" s="7">
        <v>21</v>
      </c>
      <c r="W2" s="7">
        <v>22</v>
      </c>
      <c r="X2" s="7">
        <v>23</v>
      </c>
      <c r="Y2" s="7">
        <v>24</v>
      </c>
      <c r="Z2" s="7">
        <v>25</v>
      </c>
      <c r="AA2" s="7">
        <v>26</v>
      </c>
      <c r="AB2" s="7">
        <v>27</v>
      </c>
      <c r="AC2" s="7">
        <v>28</v>
      </c>
      <c r="AD2" s="7">
        <v>29</v>
      </c>
      <c r="AE2" s="7">
        <v>30</v>
      </c>
      <c r="AF2" s="7">
        <v>31</v>
      </c>
      <c r="AG2" s="7">
        <v>32</v>
      </c>
      <c r="AH2" s="7">
        <v>33</v>
      </c>
      <c r="AI2" s="7">
        <v>34</v>
      </c>
      <c r="AJ2" s="7">
        <v>35</v>
      </c>
      <c r="AK2" s="7">
        <v>36</v>
      </c>
      <c r="AL2" s="7">
        <v>37</v>
      </c>
      <c r="AM2" s="7">
        <v>38</v>
      </c>
      <c r="AN2" s="7">
        <v>39</v>
      </c>
      <c r="AO2" s="7">
        <v>40</v>
      </c>
    </row>
    <row r="3" spans="1:43" ht="24" customHeight="1">
      <c r="A3" s="7" t="s">
        <v>91</v>
      </c>
      <c r="B3" s="42">
        <v>1</v>
      </c>
      <c r="C3" s="43"/>
      <c r="D3" s="43"/>
      <c r="E3" s="44"/>
      <c r="F3" s="42">
        <v>2</v>
      </c>
      <c r="G3" s="43"/>
      <c r="H3" s="43"/>
      <c r="I3" s="44"/>
      <c r="J3" s="42">
        <v>3</v>
      </c>
      <c r="K3" s="43"/>
      <c r="L3" s="43"/>
      <c r="M3" s="44"/>
      <c r="N3" s="42">
        <v>4</v>
      </c>
      <c r="O3" s="43"/>
      <c r="P3" s="43"/>
      <c r="Q3" s="44"/>
      <c r="R3" s="42">
        <v>5</v>
      </c>
      <c r="S3" s="43"/>
      <c r="T3" s="43"/>
      <c r="U3" s="44"/>
      <c r="V3" s="42">
        <v>6</v>
      </c>
      <c r="W3" s="43"/>
      <c r="X3" s="43"/>
      <c r="Y3" s="44"/>
      <c r="Z3" s="42">
        <v>7</v>
      </c>
      <c r="AA3" s="43"/>
      <c r="AB3" s="43"/>
      <c r="AC3" s="44"/>
      <c r="AD3" s="42">
        <v>8</v>
      </c>
      <c r="AE3" s="43"/>
      <c r="AF3" s="43"/>
      <c r="AG3" s="44"/>
      <c r="AH3" s="42">
        <v>9</v>
      </c>
      <c r="AI3" s="43"/>
      <c r="AJ3" s="43"/>
      <c r="AK3" s="44"/>
      <c r="AL3" s="42">
        <v>10</v>
      </c>
      <c r="AM3" s="43"/>
      <c r="AN3" s="43"/>
      <c r="AO3" s="44"/>
      <c r="AP3"/>
      <c r="AQ3"/>
    </row>
    <row r="4" spans="1:43" ht="24" customHeight="1" thickBot="1"/>
    <row r="5" spans="1:43" ht="24" customHeight="1" thickBot="1">
      <c r="A5" s="9" t="s">
        <v>393</v>
      </c>
      <c r="B5" s="6" t="s">
        <v>92</v>
      </c>
      <c r="C5" s="8" t="s">
        <v>93</v>
      </c>
      <c r="V5" s="45" t="s">
        <v>394</v>
      </c>
      <c r="W5" s="46"/>
      <c r="X5" s="46"/>
      <c r="Y5" s="47"/>
      <c r="Z5" s="6" t="s">
        <v>92</v>
      </c>
      <c r="AA5" s="8" t="s">
        <v>101</v>
      </c>
    </row>
    <row r="6" spans="1:43" ht="25" customHeight="1">
      <c r="C6" s="8" t="s">
        <v>97</v>
      </c>
      <c r="AA6" s="8" t="s">
        <v>102</v>
      </c>
    </row>
    <row r="7" spans="1:43" ht="25" customHeight="1" thickBot="1">
      <c r="C7" s="8" t="s">
        <v>96</v>
      </c>
    </row>
    <row r="8" spans="1:43" ht="25" customHeight="1" thickBot="1">
      <c r="C8" s="8" t="s">
        <v>98</v>
      </c>
      <c r="V8" s="45" t="s">
        <v>395</v>
      </c>
      <c r="W8" s="46"/>
      <c r="X8" s="46"/>
      <c r="Y8" s="47"/>
      <c r="Z8" s="6" t="s">
        <v>92</v>
      </c>
      <c r="AA8" s="8" t="s">
        <v>103</v>
      </c>
    </row>
    <row r="9" spans="1:43" ht="25" customHeight="1">
      <c r="C9" s="8" t="s">
        <v>396</v>
      </c>
    </row>
    <row r="10" spans="1:43" ht="25" customHeight="1">
      <c r="C10" s="8" t="s">
        <v>397</v>
      </c>
    </row>
    <row r="11" spans="1:43" ht="25" customHeight="1">
      <c r="C11" s="8" t="s">
        <v>99</v>
      </c>
    </row>
    <row r="12" spans="1:43" ht="25" customHeight="1">
      <c r="C12" s="8" t="s">
        <v>95</v>
      </c>
    </row>
    <row r="13" spans="1:43" ht="25" customHeight="1">
      <c r="C13" s="8" t="s">
        <v>100</v>
      </c>
    </row>
    <row r="14" spans="1:43" ht="25" customHeight="1"/>
    <row r="15" spans="1:43" ht="25" customHeight="1">
      <c r="A15" s="12" t="s">
        <v>104</v>
      </c>
      <c r="B15" s="6" t="s">
        <v>92</v>
      </c>
      <c r="C15" s="6">
        <v>1</v>
      </c>
      <c r="D15" s="8" t="s">
        <v>106</v>
      </c>
    </row>
    <row r="16" spans="1:43" ht="25" customHeight="1">
      <c r="D16" s="8" t="s">
        <v>105</v>
      </c>
    </row>
    <row r="17" spans="3:4" ht="25" customHeight="1">
      <c r="C17" s="6">
        <v>2</v>
      </c>
      <c r="D17" s="8" t="s">
        <v>107</v>
      </c>
    </row>
    <row r="18" spans="3:4" ht="25" customHeight="1">
      <c r="C18" s="6">
        <v>3</v>
      </c>
      <c r="D18" s="8" t="s">
        <v>108</v>
      </c>
    </row>
    <row r="19" spans="3:4" ht="25" customHeight="1">
      <c r="C19" s="8"/>
    </row>
    <row r="20" spans="3:4" ht="25" customHeight="1"/>
    <row r="21" spans="3:4" ht="25" customHeight="1"/>
    <row r="22" spans="3:4" ht="25" customHeight="1"/>
  </sheetData>
  <mergeCells count="12">
    <mergeCell ref="B3:E3"/>
    <mergeCell ref="F3:I3"/>
    <mergeCell ref="J3:M3"/>
    <mergeCell ref="N3:Q3"/>
    <mergeCell ref="R3:U3"/>
    <mergeCell ref="AD3:AG3"/>
    <mergeCell ref="AH3:AK3"/>
    <mergeCell ref="V5:Y5"/>
    <mergeCell ref="V8:Y8"/>
    <mergeCell ref="AL3:AO3"/>
    <mergeCell ref="V3:Y3"/>
    <mergeCell ref="Z3:AC3"/>
  </mergeCells>
  <phoneticPr fontId="1" type="noConversion"/>
  <pageMargins left="0.7" right="0.7" top="0.75" bottom="0.75" header="0.3" footer="0.3"/>
  <pageSetup paperSize="9" scale="65" orientation="portrait" horizontalDpi="0" verticalDpi="0" copies="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8E3BD7-8C3E-4741-B7D3-3594072F3B0A}">
  <dimension ref="A2:I11"/>
  <sheetViews>
    <sheetView topLeftCell="B1" zoomScale="186" workbookViewId="0">
      <selection activeCell="C13" sqref="C13"/>
    </sheetView>
  </sheetViews>
  <sheetFormatPr baseColWidth="10" defaultRowHeight="15"/>
  <cols>
    <col min="2" max="2" width="32.33203125" customWidth="1"/>
  </cols>
  <sheetData>
    <row r="2" spans="1:9">
      <c r="A2">
        <v>1</v>
      </c>
      <c r="B2" t="s">
        <v>109</v>
      </c>
      <c r="C2" t="s">
        <v>110</v>
      </c>
      <c r="I2">
        <f>SUM(I4:I12)</f>
        <v>1030</v>
      </c>
    </row>
    <row r="3" spans="1:9">
      <c r="A3">
        <v>2</v>
      </c>
      <c r="B3" t="s">
        <v>111</v>
      </c>
      <c r="H3" t="s">
        <v>116</v>
      </c>
      <c r="I3" t="s">
        <v>117</v>
      </c>
    </row>
    <row r="4" spans="1:9">
      <c r="A4">
        <v>3</v>
      </c>
      <c r="B4" t="s">
        <v>112</v>
      </c>
      <c r="C4" t="s">
        <v>118</v>
      </c>
      <c r="D4">
        <v>1400</v>
      </c>
      <c r="H4" t="s">
        <v>113</v>
      </c>
      <c r="I4">
        <v>600</v>
      </c>
    </row>
    <row r="5" spans="1:9">
      <c r="A5">
        <v>4</v>
      </c>
      <c r="B5" t="s">
        <v>121</v>
      </c>
      <c r="H5" t="s">
        <v>114</v>
      </c>
      <c r="I5">
        <f>70*3</f>
        <v>210</v>
      </c>
    </row>
    <row r="6" spans="1:9">
      <c r="A6">
        <v>5</v>
      </c>
      <c r="H6" t="s">
        <v>115</v>
      </c>
      <c r="I6">
        <v>20</v>
      </c>
    </row>
    <row r="7" spans="1:9">
      <c r="A7">
        <v>6</v>
      </c>
      <c r="H7" t="s">
        <v>119</v>
      </c>
      <c r="I7">
        <v>100</v>
      </c>
    </row>
    <row r="8" spans="1:9">
      <c r="A8">
        <v>7</v>
      </c>
      <c r="H8" t="s">
        <v>120</v>
      </c>
      <c r="I8">
        <v>100</v>
      </c>
    </row>
    <row r="9" spans="1:9">
      <c r="A9">
        <v>8</v>
      </c>
    </row>
    <row r="10" spans="1:9">
      <c r="A10">
        <v>9</v>
      </c>
    </row>
    <row r="11" spans="1:9">
      <c r="A11">
        <v>10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121256-8829-964A-8A28-FFFC74A85D50}">
  <dimension ref="A1:M18"/>
  <sheetViews>
    <sheetView zoomScale="186" workbookViewId="0">
      <selection activeCell="B20" sqref="B20"/>
    </sheetView>
  </sheetViews>
  <sheetFormatPr baseColWidth="10" defaultRowHeight="15"/>
  <cols>
    <col min="1" max="1" width="15.83203125" customWidth="1"/>
    <col min="2" max="2" width="19.83203125" customWidth="1"/>
    <col min="4" max="4" width="3.5" customWidth="1"/>
    <col min="5" max="5" width="45" bestFit="1" customWidth="1"/>
  </cols>
  <sheetData>
    <row r="1" spans="1:13">
      <c r="A1" s="13" t="s">
        <v>132</v>
      </c>
      <c r="K1" t="s">
        <v>146</v>
      </c>
      <c r="L1">
        <v>1500</v>
      </c>
    </row>
    <row r="2" spans="1:13">
      <c r="A2" t="s">
        <v>128</v>
      </c>
      <c r="B2" t="s">
        <v>157</v>
      </c>
      <c r="D2">
        <v>1</v>
      </c>
      <c r="E2" t="s">
        <v>109</v>
      </c>
      <c r="F2" t="s">
        <v>143</v>
      </c>
      <c r="L2">
        <f>SUM(L4:L12)</f>
        <v>1030</v>
      </c>
    </row>
    <row r="3" spans="1:13">
      <c r="A3" t="s">
        <v>129</v>
      </c>
      <c r="B3" t="s">
        <v>123</v>
      </c>
      <c r="D3">
        <v>2</v>
      </c>
      <c r="E3" t="s">
        <v>154</v>
      </c>
      <c r="K3" t="s">
        <v>116</v>
      </c>
      <c r="L3" t="s">
        <v>117</v>
      </c>
    </row>
    <row r="4" spans="1:13">
      <c r="A4" t="s">
        <v>122</v>
      </c>
      <c r="B4" t="s">
        <v>123</v>
      </c>
      <c r="D4">
        <v>3</v>
      </c>
      <c r="E4" t="s">
        <v>145</v>
      </c>
      <c r="F4" t="s">
        <v>118</v>
      </c>
      <c r="K4" t="s">
        <v>113</v>
      </c>
      <c r="L4">
        <v>600</v>
      </c>
      <c r="M4" t="s">
        <v>159</v>
      </c>
    </row>
    <row r="5" spans="1:13">
      <c r="A5" t="s">
        <v>124</v>
      </c>
      <c r="B5" t="s">
        <v>125</v>
      </c>
      <c r="D5">
        <v>4</v>
      </c>
      <c r="E5" t="s">
        <v>121</v>
      </c>
      <c r="K5" t="s">
        <v>114</v>
      </c>
      <c r="L5">
        <f>70*3</f>
        <v>210</v>
      </c>
    </row>
    <row r="6" spans="1:13">
      <c r="A6" t="s">
        <v>152</v>
      </c>
      <c r="B6" t="s">
        <v>127</v>
      </c>
      <c r="D6">
        <v>5</v>
      </c>
      <c r="E6" t="s">
        <v>144</v>
      </c>
      <c r="F6" t="s">
        <v>134</v>
      </c>
      <c r="G6" t="s">
        <v>135</v>
      </c>
      <c r="K6" t="s">
        <v>115</v>
      </c>
      <c r="L6">
        <v>20</v>
      </c>
    </row>
    <row r="7" spans="1:13">
      <c r="A7" t="s">
        <v>126</v>
      </c>
      <c r="D7">
        <v>6</v>
      </c>
      <c r="E7" t="s">
        <v>136</v>
      </c>
      <c r="K7" t="s">
        <v>119</v>
      </c>
      <c r="L7">
        <v>100</v>
      </c>
    </row>
    <row r="8" spans="1:13">
      <c r="A8" t="s">
        <v>133</v>
      </c>
      <c r="B8" t="s">
        <v>149</v>
      </c>
      <c r="D8">
        <v>7</v>
      </c>
      <c r="E8" t="s">
        <v>138</v>
      </c>
      <c r="F8" t="s">
        <v>140</v>
      </c>
      <c r="K8" t="s">
        <v>120</v>
      </c>
      <c r="L8">
        <v>100</v>
      </c>
    </row>
    <row r="9" spans="1:13">
      <c r="A9" t="s">
        <v>137</v>
      </c>
      <c r="B9" t="s">
        <v>141</v>
      </c>
      <c r="C9" t="s">
        <v>153</v>
      </c>
      <c r="D9">
        <v>8</v>
      </c>
      <c r="E9" t="s">
        <v>139</v>
      </c>
      <c r="F9" t="s">
        <v>140</v>
      </c>
    </row>
    <row r="10" spans="1:13">
      <c r="A10" t="s">
        <v>150</v>
      </c>
      <c r="B10" t="s">
        <v>151</v>
      </c>
      <c r="D10">
        <v>9</v>
      </c>
      <c r="E10" t="s">
        <v>161</v>
      </c>
    </row>
    <row r="11" spans="1:13">
      <c r="A11" t="s">
        <v>147</v>
      </c>
      <c r="B11" t="s">
        <v>148</v>
      </c>
      <c r="D11">
        <v>10</v>
      </c>
    </row>
    <row r="12" spans="1:13">
      <c r="A12" t="s">
        <v>155</v>
      </c>
      <c r="B12" t="s">
        <v>156</v>
      </c>
    </row>
    <row r="13" spans="1:13">
      <c r="A13" t="s">
        <v>158</v>
      </c>
      <c r="B13" t="s">
        <v>160</v>
      </c>
    </row>
    <row r="17" spans="1:2">
      <c r="A17" t="s">
        <v>130</v>
      </c>
      <c r="B17" t="s">
        <v>131</v>
      </c>
    </row>
    <row r="18" spans="1:2">
      <c r="B18" t="s">
        <v>142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A3D877-DDBD-1348-9D72-6CCAB7168871}">
  <dimension ref="A1:P18"/>
  <sheetViews>
    <sheetView zoomScale="125" workbookViewId="0">
      <pane xSplit="2" ySplit="2" topLeftCell="C3" activePane="bottomRight" state="frozen"/>
      <selection pane="topRight" activeCell="C1" sqref="C1"/>
      <selection pane="bottomLeft" activeCell="A2" sqref="A2"/>
      <selection pane="bottomRight" activeCell="M2" sqref="M2"/>
    </sheetView>
  </sheetViews>
  <sheetFormatPr baseColWidth="10" defaultRowHeight="17"/>
  <cols>
    <col min="1" max="2" width="5.83203125" style="18" customWidth="1"/>
    <col min="3" max="3" width="18.33203125" style="18" bestFit="1" customWidth="1"/>
    <col min="4" max="4" width="11.5" style="18" customWidth="1"/>
    <col min="5" max="5" width="7.5" style="18" customWidth="1"/>
    <col min="6" max="6" width="15.6640625" style="18" bestFit="1" customWidth="1"/>
    <col min="7" max="7" width="5.6640625" style="18" customWidth="1"/>
    <col min="8" max="8" width="8.6640625" style="18" bestFit="1" customWidth="1"/>
    <col min="9" max="11" width="10.83203125" style="2"/>
    <col min="12" max="12" width="4.83203125" style="2" customWidth="1"/>
    <col min="13" max="13" width="10.83203125" style="2"/>
    <col min="14" max="14" width="9" style="2" customWidth="1"/>
    <col min="15" max="15" width="14" style="2" customWidth="1"/>
    <col min="16" max="16" width="11.6640625" style="2" bestFit="1" customWidth="1"/>
    <col min="17" max="16384" width="10.83203125" style="2"/>
  </cols>
  <sheetData>
    <row r="1" spans="1:16" ht="56" customHeight="1">
      <c r="A1" s="14"/>
      <c r="B1" s="15"/>
      <c r="C1" s="15"/>
      <c r="D1" s="15"/>
      <c r="E1" s="15"/>
      <c r="F1" s="15"/>
      <c r="G1" s="15"/>
      <c r="H1" s="15"/>
      <c r="I1" s="10"/>
      <c r="J1" s="10"/>
      <c r="K1" s="10"/>
      <c r="L1" s="10"/>
      <c r="M1" s="10"/>
      <c r="N1" s="10"/>
      <c r="O1" s="10"/>
      <c r="P1" s="11"/>
    </row>
    <row r="2" spans="1:16" ht="58" customHeight="1">
      <c r="A2" s="19" t="s">
        <v>391</v>
      </c>
      <c r="B2" s="16" t="s">
        <v>0</v>
      </c>
      <c r="C2" s="16" t="s">
        <v>163</v>
      </c>
      <c r="D2" s="16" t="s">
        <v>1</v>
      </c>
      <c r="E2" s="17" t="s">
        <v>162</v>
      </c>
      <c r="F2" s="16" t="s">
        <v>88</v>
      </c>
      <c r="G2" s="17" t="s">
        <v>164</v>
      </c>
      <c r="H2" s="17" t="s">
        <v>165</v>
      </c>
      <c r="I2" s="1" t="s">
        <v>2</v>
      </c>
      <c r="J2" s="1" t="s">
        <v>3</v>
      </c>
      <c r="K2" s="1" t="s">
        <v>4</v>
      </c>
      <c r="L2" s="1" t="s">
        <v>5</v>
      </c>
      <c r="M2" s="1" t="s">
        <v>6</v>
      </c>
      <c r="N2" s="1" t="s">
        <v>90</v>
      </c>
      <c r="O2" s="5" t="s">
        <v>384</v>
      </c>
      <c r="P2" s="1" t="s">
        <v>7</v>
      </c>
    </row>
    <row r="3" spans="1:16" ht="30" customHeight="1">
      <c r="A3" s="16">
        <v>1</v>
      </c>
      <c r="B3" s="48">
        <v>1</v>
      </c>
      <c r="C3" s="28" t="s">
        <v>325</v>
      </c>
      <c r="D3" s="16" t="s">
        <v>64</v>
      </c>
      <c r="E3" s="28" t="s">
        <v>198</v>
      </c>
      <c r="F3" s="28" t="s">
        <v>326</v>
      </c>
      <c r="G3" s="16" t="s">
        <v>174</v>
      </c>
      <c r="H3" s="16" t="s">
        <v>170</v>
      </c>
      <c r="I3" s="1"/>
      <c r="J3" s="1"/>
      <c r="K3" s="1"/>
      <c r="L3" s="1"/>
      <c r="M3" s="1"/>
      <c r="N3" s="1" t="s">
        <v>89</v>
      </c>
      <c r="O3" s="1"/>
      <c r="P3" s="1" t="s">
        <v>386</v>
      </c>
    </row>
    <row r="4" spans="1:16" ht="30" customHeight="1">
      <c r="A4" s="16">
        <v>2</v>
      </c>
      <c r="B4" s="49"/>
      <c r="C4" s="29" t="s">
        <v>325</v>
      </c>
      <c r="D4" s="30" t="s">
        <v>327</v>
      </c>
      <c r="E4" s="29"/>
      <c r="F4" s="29" t="s">
        <v>328</v>
      </c>
      <c r="G4" s="30" t="s">
        <v>169</v>
      </c>
      <c r="H4" s="30" t="s">
        <v>175</v>
      </c>
      <c r="I4" s="26"/>
      <c r="J4" s="26"/>
      <c r="K4" s="26"/>
      <c r="L4" s="26">
        <v>36</v>
      </c>
      <c r="M4" s="26"/>
      <c r="N4" s="26" t="s">
        <v>383</v>
      </c>
      <c r="O4" s="1"/>
      <c r="P4" s="1"/>
    </row>
    <row r="5" spans="1:16" ht="30" customHeight="1">
      <c r="A5" s="16">
        <v>3</v>
      </c>
      <c r="B5" s="49"/>
      <c r="C5" s="28" t="s">
        <v>325</v>
      </c>
      <c r="D5" s="16" t="s">
        <v>69</v>
      </c>
      <c r="E5" s="28" t="s">
        <v>198</v>
      </c>
      <c r="F5" s="28" t="s">
        <v>329</v>
      </c>
      <c r="G5" s="16" t="s">
        <v>174</v>
      </c>
      <c r="H5" s="16" t="s">
        <v>170</v>
      </c>
      <c r="I5" s="1"/>
      <c r="J5" s="1"/>
      <c r="K5" s="1"/>
      <c r="L5" s="1"/>
      <c r="M5" s="1"/>
      <c r="N5" s="1" t="s">
        <v>89</v>
      </c>
      <c r="O5" s="1"/>
      <c r="P5" s="1"/>
    </row>
    <row r="6" spans="1:16" ht="30" customHeight="1">
      <c r="A6" s="16">
        <v>4</v>
      </c>
      <c r="B6" s="50"/>
      <c r="C6" s="28"/>
      <c r="D6" s="16"/>
      <c r="E6" s="28"/>
      <c r="F6" s="28"/>
      <c r="G6" s="16"/>
      <c r="H6" s="16"/>
      <c r="I6" s="1"/>
      <c r="J6" s="1"/>
      <c r="K6" s="1"/>
      <c r="L6" s="1"/>
      <c r="M6" s="1"/>
      <c r="N6" s="1"/>
      <c r="O6" s="1"/>
      <c r="P6" s="1"/>
    </row>
    <row r="7" spans="1:16" ht="30" customHeight="1">
      <c r="A7" s="16">
        <v>5</v>
      </c>
      <c r="B7" s="48">
        <v>2</v>
      </c>
      <c r="C7" s="29" t="s">
        <v>325</v>
      </c>
      <c r="D7" s="30" t="s">
        <v>74</v>
      </c>
      <c r="E7" s="29" t="s">
        <v>198</v>
      </c>
      <c r="F7" s="29" t="s">
        <v>330</v>
      </c>
      <c r="G7" s="30" t="s">
        <v>169</v>
      </c>
      <c r="H7" s="30" t="s">
        <v>175</v>
      </c>
      <c r="I7" s="26"/>
      <c r="J7" s="26"/>
      <c r="K7" s="26"/>
      <c r="L7" s="26">
        <v>36</v>
      </c>
      <c r="M7" s="26"/>
      <c r="N7" s="26" t="s">
        <v>383</v>
      </c>
      <c r="O7" s="1"/>
      <c r="P7" s="1"/>
    </row>
    <row r="8" spans="1:16" ht="30" customHeight="1">
      <c r="A8" s="16">
        <v>6</v>
      </c>
      <c r="B8" s="49"/>
      <c r="C8" s="28" t="s">
        <v>325</v>
      </c>
      <c r="D8" s="16" t="s">
        <v>67</v>
      </c>
      <c r="E8" s="28"/>
      <c r="F8" s="28" t="s">
        <v>68</v>
      </c>
      <c r="G8" s="16" t="s">
        <v>174</v>
      </c>
      <c r="H8" s="16" t="s">
        <v>170</v>
      </c>
      <c r="I8" s="1"/>
      <c r="J8" s="1"/>
      <c r="K8" s="1"/>
      <c r="L8" s="1"/>
      <c r="M8" s="1"/>
      <c r="N8" s="1" t="s">
        <v>89</v>
      </c>
      <c r="O8" s="1"/>
      <c r="P8" s="1"/>
    </row>
    <row r="9" spans="1:16" ht="30" customHeight="1">
      <c r="A9" s="16">
        <v>7</v>
      </c>
      <c r="B9" s="49"/>
      <c r="C9" s="28" t="s">
        <v>325</v>
      </c>
      <c r="D9" s="16" t="s">
        <v>65</v>
      </c>
      <c r="E9" s="28" t="s">
        <v>171</v>
      </c>
      <c r="F9" s="28" t="s">
        <v>66</v>
      </c>
      <c r="G9" s="16" t="s">
        <v>174</v>
      </c>
      <c r="H9" s="16" t="s">
        <v>170</v>
      </c>
      <c r="I9" s="1"/>
      <c r="J9" s="1"/>
      <c r="K9" s="1"/>
      <c r="L9" s="1"/>
      <c r="M9" s="1"/>
      <c r="N9" s="1" t="s">
        <v>89</v>
      </c>
      <c r="O9" s="1"/>
      <c r="P9" s="1"/>
    </row>
    <row r="10" spans="1:16" ht="30" customHeight="1">
      <c r="A10" s="16">
        <v>8</v>
      </c>
      <c r="B10" s="50"/>
      <c r="C10" s="28" t="s">
        <v>325</v>
      </c>
      <c r="D10" s="16" t="s">
        <v>70</v>
      </c>
      <c r="E10" s="28"/>
      <c r="F10" s="28" t="s">
        <v>71</v>
      </c>
      <c r="G10" s="16" t="s">
        <v>174</v>
      </c>
      <c r="H10" s="16" t="s">
        <v>170</v>
      </c>
      <c r="I10" s="1"/>
      <c r="J10" s="1"/>
      <c r="K10" s="1"/>
      <c r="L10" s="1"/>
      <c r="M10" s="1"/>
      <c r="N10" s="1" t="s">
        <v>89</v>
      </c>
      <c r="O10" s="1"/>
      <c r="P10" s="1"/>
    </row>
    <row r="11" spans="1:16" ht="30" customHeight="1">
      <c r="A11" s="16">
        <v>9</v>
      </c>
      <c r="B11" s="48">
        <v>3</v>
      </c>
      <c r="C11" s="28" t="s">
        <v>325</v>
      </c>
      <c r="D11" s="16" t="s">
        <v>72</v>
      </c>
      <c r="E11" s="28"/>
      <c r="F11" s="28" t="s">
        <v>73</v>
      </c>
      <c r="G11" s="16" t="s">
        <v>174</v>
      </c>
      <c r="H11" s="16" t="s">
        <v>170</v>
      </c>
      <c r="I11" s="1"/>
      <c r="J11" s="1"/>
      <c r="K11" s="1"/>
      <c r="L11" s="1"/>
      <c r="M11" s="1"/>
      <c r="N11" s="1" t="s">
        <v>89</v>
      </c>
      <c r="O11" s="1"/>
      <c r="P11" s="1"/>
    </row>
    <row r="12" spans="1:16" ht="30" customHeight="1">
      <c r="A12" s="16">
        <v>10</v>
      </c>
      <c r="B12" s="49"/>
      <c r="C12" s="28" t="s">
        <v>331</v>
      </c>
      <c r="D12" s="16" t="s">
        <v>85</v>
      </c>
      <c r="E12" s="28"/>
      <c r="F12" s="28" t="s">
        <v>332</v>
      </c>
      <c r="G12" s="16" t="s">
        <v>174</v>
      </c>
      <c r="H12" s="16" t="s">
        <v>170</v>
      </c>
      <c r="I12" s="1"/>
      <c r="J12" s="1"/>
      <c r="K12" s="1"/>
      <c r="L12" s="1"/>
      <c r="M12" s="1"/>
      <c r="N12" s="1" t="s">
        <v>89</v>
      </c>
      <c r="O12" s="1"/>
      <c r="P12" s="1"/>
    </row>
    <row r="13" spans="1:16" ht="30" customHeight="1">
      <c r="A13" s="16">
        <v>11</v>
      </c>
      <c r="B13" s="49"/>
      <c r="C13" s="28" t="s">
        <v>331</v>
      </c>
      <c r="D13" s="16" t="s">
        <v>86</v>
      </c>
      <c r="E13" s="28"/>
      <c r="F13" s="28" t="s">
        <v>333</v>
      </c>
      <c r="G13" s="16" t="s">
        <v>174</v>
      </c>
      <c r="H13" s="16" t="s">
        <v>170</v>
      </c>
      <c r="I13" s="1"/>
      <c r="J13" s="1"/>
      <c r="K13" s="1"/>
      <c r="L13" s="1"/>
      <c r="M13" s="1"/>
      <c r="N13" s="1" t="s">
        <v>89</v>
      </c>
      <c r="O13" s="1"/>
      <c r="P13" s="1"/>
    </row>
    <row r="14" spans="1:16" ht="30" customHeight="1">
      <c r="A14" s="16">
        <v>12</v>
      </c>
      <c r="B14" s="50"/>
      <c r="C14" s="28"/>
      <c r="D14" s="16"/>
      <c r="E14" s="28"/>
      <c r="F14" s="28"/>
      <c r="G14" s="16"/>
      <c r="H14" s="16"/>
      <c r="I14" s="1"/>
      <c r="J14" s="1"/>
      <c r="K14" s="1"/>
      <c r="L14" s="1"/>
      <c r="M14" s="1"/>
      <c r="N14" s="1"/>
      <c r="O14" s="1"/>
      <c r="P14" s="1"/>
    </row>
    <row r="15" spans="1:16" ht="30" customHeight="1">
      <c r="A15" s="16">
        <v>13</v>
      </c>
      <c r="B15" s="48">
        <v>4</v>
      </c>
      <c r="C15" s="28" t="s">
        <v>331</v>
      </c>
      <c r="D15" s="16" t="s">
        <v>81</v>
      </c>
      <c r="E15" s="28" t="s">
        <v>198</v>
      </c>
      <c r="F15" s="28" t="s">
        <v>334</v>
      </c>
      <c r="G15" s="16" t="s">
        <v>174</v>
      </c>
      <c r="H15" s="16" t="s">
        <v>170</v>
      </c>
      <c r="I15" s="1"/>
      <c r="J15" s="1"/>
      <c r="K15" s="1"/>
      <c r="L15" s="1"/>
      <c r="M15" s="1"/>
      <c r="N15" s="1" t="s">
        <v>89</v>
      </c>
      <c r="O15" s="1"/>
      <c r="P15" s="1"/>
    </row>
    <row r="16" spans="1:16" ht="30" customHeight="1">
      <c r="A16" s="16">
        <v>14</v>
      </c>
      <c r="B16" s="49"/>
      <c r="C16" s="28" t="s">
        <v>392</v>
      </c>
      <c r="D16" s="16" t="s">
        <v>79</v>
      </c>
      <c r="E16" s="28"/>
      <c r="F16" s="28" t="s">
        <v>80</v>
      </c>
      <c r="G16" s="16" t="s">
        <v>174</v>
      </c>
      <c r="H16" s="16" t="s">
        <v>170</v>
      </c>
      <c r="I16" s="1"/>
      <c r="J16" s="1"/>
      <c r="K16" s="1"/>
      <c r="L16" s="1"/>
      <c r="M16" s="1"/>
      <c r="N16" s="1" t="s">
        <v>89</v>
      </c>
      <c r="O16" s="1"/>
      <c r="P16" s="1"/>
    </row>
    <row r="17" spans="1:16" ht="30" customHeight="1">
      <c r="A17" s="16">
        <v>15</v>
      </c>
      <c r="B17" s="49"/>
      <c r="C17" s="28" t="s">
        <v>331</v>
      </c>
      <c r="D17" s="16" t="s">
        <v>78</v>
      </c>
      <c r="E17" s="28"/>
      <c r="F17" s="28" t="s">
        <v>50</v>
      </c>
      <c r="G17" s="16" t="s">
        <v>174</v>
      </c>
      <c r="H17" s="16" t="s">
        <v>170</v>
      </c>
      <c r="I17" s="1"/>
      <c r="J17" s="1"/>
      <c r="K17" s="1"/>
      <c r="L17" s="1"/>
      <c r="M17" s="1"/>
      <c r="N17" s="1" t="s">
        <v>89</v>
      </c>
      <c r="O17" s="1"/>
      <c r="P17" s="1"/>
    </row>
    <row r="18" spans="1:16" ht="30" customHeight="1">
      <c r="A18" s="16">
        <v>16</v>
      </c>
      <c r="B18" s="50"/>
      <c r="C18" s="28" t="s">
        <v>331</v>
      </c>
      <c r="D18" s="16" t="s">
        <v>77</v>
      </c>
      <c r="E18" s="28" t="s">
        <v>198</v>
      </c>
      <c r="F18" s="28" t="s">
        <v>335</v>
      </c>
      <c r="G18" s="16" t="s">
        <v>174</v>
      </c>
      <c r="H18" s="16" t="s">
        <v>170</v>
      </c>
      <c r="I18" s="1"/>
      <c r="J18" s="1"/>
      <c r="K18" s="1"/>
      <c r="L18" s="1"/>
      <c r="M18" s="1"/>
      <c r="N18" s="1" t="s">
        <v>89</v>
      </c>
      <c r="O18" s="1"/>
      <c r="P18" s="1"/>
    </row>
  </sheetData>
  <autoFilter ref="A2:P18" xr:uid="{860B255A-4513-4E43-AEA4-D835803EB8B4}"/>
  <mergeCells count="4">
    <mergeCell ref="B3:B6"/>
    <mergeCell ref="B7:B10"/>
    <mergeCell ref="B11:B14"/>
    <mergeCell ref="B15:B18"/>
  </mergeCells>
  <phoneticPr fontId="1" type="noConversion"/>
  <printOptions horizontalCentered="1" verticalCentered="1"/>
  <pageMargins left="0.7" right="0.7" top="0.75" bottom="0.75" header="0.3" footer="0.3"/>
  <pageSetup paperSize="9" scale="75" orientation="landscape" horizontalDpi="0" verticalDpi="0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E7473F-F965-324D-A881-A8A161AB3DF3}">
  <dimension ref="A1:P18"/>
  <sheetViews>
    <sheetView zoomScale="125" workbookViewId="0">
      <pane xSplit="2" ySplit="2" topLeftCell="C3" activePane="bottomRight" state="frozen"/>
      <selection pane="topRight" activeCell="C1" sqref="C1"/>
      <selection pane="bottomLeft" activeCell="A2" sqref="A2"/>
      <selection pane="bottomRight" activeCell="M2" sqref="M2"/>
    </sheetView>
  </sheetViews>
  <sheetFormatPr baseColWidth="10" defaultRowHeight="17"/>
  <cols>
    <col min="1" max="2" width="5.83203125" style="18" customWidth="1"/>
    <col min="3" max="3" width="18.33203125" style="18" bestFit="1" customWidth="1"/>
    <col min="4" max="4" width="11.5" style="18" customWidth="1"/>
    <col min="5" max="5" width="7.5" style="18" customWidth="1"/>
    <col min="6" max="6" width="15.6640625" style="18" bestFit="1" customWidth="1"/>
    <col min="7" max="7" width="5.6640625" style="18" customWidth="1"/>
    <col min="8" max="8" width="8.6640625" style="18" bestFit="1" customWidth="1"/>
    <col min="9" max="11" width="10.83203125" style="2"/>
    <col min="12" max="12" width="4.83203125" style="2" customWidth="1"/>
    <col min="13" max="13" width="10.83203125" style="2"/>
    <col min="14" max="14" width="9" style="2" customWidth="1"/>
    <col min="15" max="15" width="16.6640625" style="2" customWidth="1"/>
    <col min="16" max="16" width="11.6640625" style="2" bestFit="1" customWidth="1"/>
    <col min="17" max="16384" width="10.83203125" style="2"/>
  </cols>
  <sheetData>
    <row r="1" spans="1:16" ht="57" customHeight="1">
      <c r="A1" s="14"/>
      <c r="B1" s="15"/>
      <c r="C1" s="15"/>
      <c r="D1" s="15"/>
      <c r="E1" s="15"/>
      <c r="F1" s="15"/>
      <c r="G1" s="15"/>
      <c r="H1" s="15"/>
      <c r="I1" s="10"/>
      <c r="J1" s="10"/>
      <c r="K1" s="10"/>
      <c r="L1" s="10"/>
      <c r="M1" s="10"/>
      <c r="N1" s="10"/>
      <c r="O1" s="10"/>
      <c r="P1" s="11"/>
    </row>
    <row r="2" spans="1:16" ht="58" customHeight="1">
      <c r="A2" s="19" t="s">
        <v>391</v>
      </c>
      <c r="B2" s="16" t="s">
        <v>0</v>
      </c>
      <c r="C2" s="16" t="s">
        <v>163</v>
      </c>
      <c r="D2" s="16" t="s">
        <v>1</v>
      </c>
      <c r="E2" s="17" t="s">
        <v>162</v>
      </c>
      <c r="F2" s="16" t="s">
        <v>88</v>
      </c>
      <c r="G2" s="17" t="s">
        <v>164</v>
      </c>
      <c r="H2" s="17" t="s">
        <v>165</v>
      </c>
      <c r="I2" s="1" t="s">
        <v>2</v>
      </c>
      <c r="J2" s="1" t="s">
        <v>3</v>
      </c>
      <c r="K2" s="1" t="s">
        <v>4</v>
      </c>
      <c r="L2" s="1" t="s">
        <v>5</v>
      </c>
      <c r="M2" s="1" t="s">
        <v>6</v>
      </c>
      <c r="N2" s="1" t="s">
        <v>90</v>
      </c>
      <c r="O2" s="5" t="s">
        <v>384</v>
      </c>
      <c r="P2" s="1" t="s">
        <v>7</v>
      </c>
    </row>
    <row r="3" spans="1:16" ht="30" customHeight="1">
      <c r="A3" s="16">
        <v>17</v>
      </c>
      <c r="B3" s="48">
        <v>5</v>
      </c>
      <c r="C3" s="28" t="s">
        <v>331</v>
      </c>
      <c r="D3" s="16" t="s">
        <v>336</v>
      </c>
      <c r="E3" s="28"/>
      <c r="F3" s="28" t="s">
        <v>84</v>
      </c>
      <c r="G3" s="16" t="s">
        <v>174</v>
      </c>
      <c r="H3" s="16" t="s">
        <v>170</v>
      </c>
      <c r="I3" s="1"/>
      <c r="J3" s="1"/>
      <c r="K3" s="1"/>
      <c r="L3" s="1"/>
      <c r="M3" s="1"/>
      <c r="N3" s="1" t="s">
        <v>89</v>
      </c>
      <c r="O3" s="1"/>
      <c r="P3" s="1"/>
    </row>
    <row r="4" spans="1:16" ht="30" customHeight="1">
      <c r="A4" s="16">
        <v>18</v>
      </c>
      <c r="B4" s="49"/>
      <c r="C4" s="28" t="s">
        <v>331</v>
      </c>
      <c r="D4" s="16" t="s">
        <v>75</v>
      </c>
      <c r="E4" s="28"/>
      <c r="F4" s="28" t="s">
        <v>76</v>
      </c>
      <c r="G4" s="16" t="s">
        <v>174</v>
      </c>
      <c r="H4" s="16" t="s">
        <v>170</v>
      </c>
      <c r="I4" s="1"/>
      <c r="J4" s="1"/>
      <c r="K4" s="1"/>
      <c r="L4" s="1"/>
      <c r="M4" s="1"/>
      <c r="N4" s="1" t="s">
        <v>89</v>
      </c>
      <c r="O4" s="1"/>
      <c r="P4" s="1"/>
    </row>
    <row r="5" spans="1:16" ht="30" customHeight="1">
      <c r="A5" s="16">
        <v>19</v>
      </c>
      <c r="B5" s="49"/>
      <c r="C5" s="29" t="s">
        <v>331</v>
      </c>
      <c r="D5" s="30" t="s">
        <v>337</v>
      </c>
      <c r="E5" s="29"/>
      <c r="F5" s="29" t="s">
        <v>338</v>
      </c>
      <c r="G5" s="30" t="s">
        <v>169</v>
      </c>
      <c r="H5" s="30" t="s">
        <v>175</v>
      </c>
      <c r="I5" s="26"/>
      <c r="J5" s="26"/>
      <c r="K5" s="26"/>
      <c r="L5" s="26">
        <v>36</v>
      </c>
      <c r="M5" s="26"/>
      <c r="N5" s="26" t="s">
        <v>383</v>
      </c>
      <c r="O5" s="1"/>
      <c r="P5" s="1"/>
    </row>
    <row r="6" spans="1:16" ht="30" customHeight="1">
      <c r="A6" s="16">
        <v>20</v>
      </c>
      <c r="B6" s="50"/>
      <c r="C6" s="28"/>
      <c r="D6" s="16"/>
      <c r="E6" s="28"/>
      <c r="F6" s="28"/>
      <c r="G6" s="16"/>
      <c r="H6" s="16"/>
      <c r="I6" s="1"/>
      <c r="J6" s="1"/>
      <c r="K6" s="1"/>
      <c r="L6" s="1"/>
      <c r="M6" s="1"/>
      <c r="N6" s="1"/>
      <c r="O6" s="1"/>
      <c r="P6" s="1"/>
    </row>
    <row r="7" spans="1:16" ht="30" customHeight="1">
      <c r="A7" s="16">
        <v>21</v>
      </c>
      <c r="B7" s="48">
        <v>6</v>
      </c>
      <c r="C7" s="29" t="s">
        <v>331</v>
      </c>
      <c r="D7" s="30" t="s">
        <v>87</v>
      </c>
      <c r="E7" s="29"/>
      <c r="F7" s="29" t="s">
        <v>339</v>
      </c>
      <c r="G7" s="30" t="s">
        <v>169</v>
      </c>
      <c r="H7" s="30" t="s">
        <v>175</v>
      </c>
      <c r="I7" s="26"/>
      <c r="J7" s="26"/>
      <c r="K7" s="26"/>
      <c r="L7" s="26">
        <v>36</v>
      </c>
      <c r="M7" s="26"/>
      <c r="N7" s="26" t="s">
        <v>383</v>
      </c>
      <c r="O7" s="1"/>
      <c r="P7" s="1"/>
    </row>
    <row r="8" spans="1:16" ht="30" customHeight="1">
      <c r="A8" s="16">
        <v>22</v>
      </c>
      <c r="B8" s="49"/>
      <c r="C8" s="28" t="s">
        <v>331</v>
      </c>
      <c r="D8" s="16" t="s">
        <v>82</v>
      </c>
      <c r="E8" s="28"/>
      <c r="F8" s="28" t="s">
        <v>83</v>
      </c>
      <c r="G8" s="16" t="s">
        <v>174</v>
      </c>
      <c r="H8" s="16" t="s">
        <v>170</v>
      </c>
      <c r="I8" s="1"/>
      <c r="J8" s="1"/>
      <c r="K8" s="1"/>
      <c r="L8" s="1"/>
      <c r="M8" s="1"/>
      <c r="N8" s="1" t="s">
        <v>89</v>
      </c>
      <c r="O8" s="1"/>
      <c r="P8" s="1"/>
    </row>
    <row r="9" spans="1:16" ht="30" customHeight="1">
      <c r="A9" s="16">
        <v>23</v>
      </c>
      <c r="B9" s="49"/>
      <c r="C9" s="29" t="s">
        <v>331</v>
      </c>
      <c r="D9" s="30" t="s">
        <v>340</v>
      </c>
      <c r="E9" s="29"/>
      <c r="F9" s="29" t="s">
        <v>341</v>
      </c>
      <c r="G9" s="30" t="s">
        <v>174</v>
      </c>
      <c r="H9" s="30" t="s">
        <v>228</v>
      </c>
      <c r="I9" s="26"/>
      <c r="J9" s="26"/>
      <c r="K9" s="26"/>
      <c r="L9" s="26"/>
      <c r="M9" s="26"/>
      <c r="N9" s="26" t="s">
        <v>383</v>
      </c>
      <c r="O9" s="1"/>
      <c r="P9" s="1"/>
    </row>
    <row r="10" spans="1:16" ht="30" customHeight="1">
      <c r="A10" s="16">
        <v>24</v>
      </c>
      <c r="B10" s="50"/>
      <c r="C10" s="28" t="s">
        <v>331</v>
      </c>
      <c r="D10" s="16" t="s">
        <v>342</v>
      </c>
      <c r="E10" s="28" t="s">
        <v>167</v>
      </c>
      <c r="F10" s="28" t="s">
        <v>22</v>
      </c>
      <c r="G10" s="16" t="s">
        <v>174</v>
      </c>
      <c r="H10" s="16" t="s">
        <v>170</v>
      </c>
      <c r="I10" s="1"/>
      <c r="J10" s="1"/>
      <c r="K10" s="1"/>
      <c r="L10" s="1"/>
      <c r="M10" s="1"/>
      <c r="N10" s="1" t="s">
        <v>89</v>
      </c>
      <c r="O10" s="1"/>
      <c r="P10" s="1"/>
    </row>
    <row r="11" spans="1:16" ht="30" customHeight="1">
      <c r="A11" s="16">
        <v>25</v>
      </c>
      <c r="B11" s="48">
        <v>7</v>
      </c>
      <c r="C11" s="28" t="s">
        <v>343</v>
      </c>
      <c r="D11" s="16" t="s">
        <v>344</v>
      </c>
      <c r="E11" s="28" t="s">
        <v>345</v>
      </c>
      <c r="F11" s="28" t="s">
        <v>32</v>
      </c>
      <c r="G11" s="16" t="s">
        <v>174</v>
      </c>
      <c r="H11" s="16" t="s">
        <v>170</v>
      </c>
      <c r="I11" s="1"/>
      <c r="J11" s="1"/>
      <c r="K11" s="1"/>
      <c r="L11" s="1"/>
      <c r="M11" s="1"/>
      <c r="N11" s="1" t="s">
        <v>89</v>
      </c>
      <c r="O11" s="1"/>
      <c r="P11" s="1"/>
    </row>
    <row r="12" spans="1:16" ht="30" customHeight="1">
      <c r="A12" s="16">
        <v>26</v>
      </c>
      <c r="B12" s="49"/>
      <c r="C12" s="28" t="s">
        <v>343</v>
      </c>
      <c r="D12" s="16" t="s">
        <v>346</v>
      </c>
      <c r="E12" s="28"/>
      <c r="F12" s="28" t="s">
        <v>347</v>
      </c>
      <c r="G12" s="16" t="s">
        <v>174</v>
      </c>
      <c r="H12" s="16" t="s">
        <v>170</v>
      </c>
      <c r="I12" s="1"/>
      <c r="J12" s="1"/>
      <c r="K12" s="1"/>
      <c r="L12" s="1"/>
      <c r="M12" s="1"/>
      <c r="N12" s="1" t="s">
        <v>89</v>
      </c>
      <c r="O12" s="1"/>
      <c r="P12" s="1"/>
    </row>
    <row r="13" spans="1:16" ht="30" customHeight="1">
      <c r="A13" s="16">
        <v>27</v>
      </c>
      <c r="B13" s="49"/>
      <c r="C13" s="28" t="s">
        <v>343</v>
      </c>
      <c r="D13" s="16" t="s">
        <v>348</v>
      </c>
      <c r="E13" s="28"/>
      <c r="F13" s="28" t="s">
        <v>349</v>
      </c>
      <c r="G13" s="16" t="s">
        <v>174</v>
      </c>
      <c r="H13" s="16" t="s">
        <v>170</v>
      </c>
      <c r="I13" s="1"/>
      <c r="J13" s="1"/>
      <c r="K13" s="1"/>
      <c r="L13" s="1"/>
      <c r="M13" s="1"/>
      <c r="N13" s="1" t="s">
        <v>89</v>
      </c>
      <c r="O13" s="1"/>
      <c r="P13" s="1"/>
    </row>
    <row r="14" spans="1:16" ht="30" customHeight="1">
      <c r="A14" s="16">
        <v>28</v>
      </c>
      <c r="B14" s="50"/>
      <c r="C14" s="28"/>
      <c r="D14" s="16"/>
      <c r="E14" s="28"/>
      <c r="F14" s="28"/>
      <c r="G14" s="16"/>
      <c r="H14" s="16"/>
      <c r="I14" s="1"/>
      <c r="J14" s="1"/>
      <c r="K14" s="1"/>
      <c r="L14" s="1"/>
      <c r="M14" s="1"/>
      <c r="N14" s="1"/>
      <c r="O14" s="1"/>
      <c r="P14" s="1"/>
    </row>
    <row r="15" spans="1:16" ht="30" customHeight="1">
      <c r="A15" s="16">
        <v>29</v>
      </c>
      <c r="B15" s="48">
        <v>8</v>
      </c>
      <c r="C15" s="28" t="s">
        <v>343</v>
      </c>
      <c r="D15" s="16" t="s">
        <v>350</v>
      </c>
      <c r="E15" s="28"/>
      <c r="F15" s="28" t="s">
        <v>351</v>
      </c>
      <c r="G15" s="16" t="s">
        <v>174</v>
      </c>
      <c r="H15" s="16" t="s">
        <v>170</v>
      </c>
      <c r="I15" s="1"/>
      <c r="J15" s="1"/>
      <c r="K15" s="1"/>
      <c r="L15" s="1"/>
      <c r="M15" s="1"/>
      <c r="N15" s="1" t="s">
        <v>89</v>
      </c>
      <c r="O15" s="1"/>
      <c r="P15" s="1"/>
    </row>
    <row r="16" spans="1:16" ht="30" customHeight="1">
      <c r="A16" s="16">
        <v>30</v>
      </c>
      <c r="B16" s="49"/>
      <c r="C16" s="28" t="s">
        <v>352</v>
      </c>
      <c r="D16" s="16" t="s">
        <v>353</v>
      </c>
      <c r="E16" s="28"/>
      <c r="F16" s="28" t="s">
        <v>354</v>
      </c>
      <c r="G16" s="16" t="s">
        <v>174</v>
      </c>
      <c r="H16" s="16" t="s">
        <v>170</v>
      </c>
      <c r="I16" s="1"/>
      <c r="J16" s="1"/>
      <c r="K16" s="1"/>
      <c r="L16" s="1"/>
      <c r="M16" s="1"/>
      <c r="N16" s="1" t="s">
        <v>89</v>
      </c>
      <c r="O16" s="1"/>
      <c r="P16" s="1"/>
    </row>
    <row r="17" spans="1:16" ht="30" customHeight="1">
      <c r="A17" s="16">
        <v>31</v>
      </c>
      <c r="B17" s="49"/>
      <c r="C17" s="28" t="s">
        <v>352</v>
      </c>
      <c r="D17" s="16" t="s">
        <v>355</v>
      </c>
      <c r="E17" s="28"/>
      <c r="F17" s="28" t="s">
        <v>356</v>
      </c>
      <c r="G17" s="16" t="s">
        <v>174</v>
      </c>
      <c r="H17" s="16" t="s">
        <v>170</v>
      </c>
      <c r="I17" s="1"/>
      <c r="J17" s="1"/>
      <c r="K17" s="1"/>
      <c r="L17" s="1"/>
      <c r="M17" s="1"/>
      <c r="N17" s="1" t="s">
        <v>89</v>
      </c>
      <c r="O17" s="1"/>
      <c r="P17" s="1"/>
    </row>
    <row r="18" spans="1:16" ht="30" customHeight="1">
      <c r="A18" s="16">
        <v>32</v>
      </c>
      <c r="B18" s="50"/>
      <c r="C18" s="28" t="s">
        <v>352</v>
      </c>
      <c r="D18" s="16" t="s">
        <v>357</v>
      </c>
      <c r="E18" s="28"/>
      <c r="F18" s="28" t="s">
        <v>80</v>
      </c>
      <c r="G18" s="16" t="s">
        <v>174</v>
      </c>
      <c r="H18" s="16" t="s">
        <v>170</v>
      </c>
      <c r="I18" s="1"/>
      <c r="J18" s="1"/>
      <c r="K18" s="1"/>
      <c r="L18" s="1"/>
      <c r="M18" s="1"/>
      <c r="N18" s="1" t="s">
        <v>89</v>
      </c>
      <c r="O18" s="1"/>
      <c r="P18" s="1"/>
    </row>
  </sheetData>
  <autoFilter ref="A2:P18" xr:uid="{860B255A-4513-4E43-AEA4-D835803EB8B4}"/>
  <mergeCells count="4">
    <mergeCell ref="B11:B14"/>
    <mergeCell ref="B15:B18"/>
    <mergeCell ref="B3:B6"/>
    <mergeCell ref="B7:B10"/>
  </mergeCells>
  <phoneticPr fontId="1" type="noConversion"/>
  <pageMargins left="0.7" right="0.7" top="0.75" bottom="0.75" header="0.3" footer="0.3"/>
  <pageSetup paperSize="9" scale="75" orientation="landscape" horizontalDpi="0" verticalDpi="0" copies="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3FA62-BE92-0B47-92FA-1D1D5C482F3E}">
  <sheetPr>
    <pageSetUpPr fitToPage="1"/>
  </sheetPr>
  <dimension ref="A1:P18"/>
  <sheetViews>
    <sheetView zoomScale="125" workbookViewId="0">
      <pane xSplit="2" ySplit="2" topLeftCell="C3" activePane="bottomRight" state="frozen"/>
      <selection pane="topRight" activeCell="C1" sqref="C1"/>
      <selection pane="bottomLeft" activeCell="A2" sqref="A2"/>
      <selection pane="bottomRight" activeCell="M2" sqref="M2"/>
    </sheetView>
  </sheetViews>
  <sheetFormatPr baseColWidth="10" defaultRowHeight="17"/>
  <cols>
    <col min="1" max="2" width="5.83203125" style="18" customWidth="1"/>
    <col min="3" max="3" width="18.33203125" style="18" bestFit="1" customWidth="1"/>
    <col min="4" max="4" width="11.6640625" style="18" customWidth="1"/>
    <col min="5" max="5" width="7.5" style="18" customWidth="1"/>
    <col min="6" max="6" width="15.6640625" style="18" bestFit="1" customWidth="1"/>
    <col min="7" max="7" width="5.6640625" style="18" customWidth="1"/>
    <col min="8" max="8" width="8.6640625" style="18" bestFit="1" customWidth="1"/>
    <col min="9" max="11" width="10.83203125" style="2"/>
    <col min="12" max="12" width="4.83203125" style="2" customWidth="1"/>
    <col min="13" max="13" width="10.83203125" style="2"/>
    <col min="14" max="14" width="9" style="2" customWidth="1"/>
    <col min="15" max="15" width="17" style="2" customWidth="1"/>
    <col min="16" max="16" width="11.6640625" style="2" bestFit="1" customWidth="1"/>
    <col min="17" max="16384" width="10.83203125" style="2"/>
  </cols>
  <sheetData>
    <row r="1" spans="1:16" ht="57" customHeight="1">
      <c r="A1" s="14"/>
      <c r="B1" s="15"/>
      <c r="C1" s="15"/>
      <c r="D1" s="15"/>
      <c r="E1" s="15"/>
      <c r="F1" s="15"/>
      <c r="G1" s="15"/>
      <c r="H1" s="15"/>
      <c r="I1" s="10"/>
      <c r="J1" s="10"/>
      <c r="K1" s="10"/>
      <c r="L1" s="10"/>
      <c r="M1" s="10"/>
      <c r="N1" s="10"/>
      <c r="O1" s="10"/>
      <c r="P1" s="11"/>
    </row>
    <row r="2" spans="1:16" ht="58" customHeight="1">
      <c r="A2" s="19" t="s">
        <v>391</v>
      </c>
      <c r="B2" s="16" t="s">
        <v>0</v>
      </c>
      <c r="C2" s="16" t="s">
        <v>163</v>
      </c>
      <c r="D2" s="16" t="s">
        <v>1</v>
      </c>
      <c r="E2" s="17" t="s">
        <v>162</v>
      </c>
      <c r="F2" s="16" t="s">
        <v>88</v>
      </c>
      <c r="G2" s="17" t="s">
        <v>164</v>
      </c>
      <c r="H2" s="17" t="s">
        <v>165</v>
      </c>
      <c r="I2" s="1" t="s">
        <v>2</v>
      </c>
      <c r="J2" s="1" t="s">
        <v>3</v>
      </c>
      <c r="K2" s="1" t="s">
        <v>4</v>
      </c>
      <c r="L2" s="1" t="s">
        <v>5</v>
      </c>
      <c r="M2" s="1" t="s">
        <v>6</v>
      </c>
      <c r="N2" s="1" t="s">
        <v>90</v>
      </c>
      <c r="O2" s="5" t="s">
        <v>384</v>
      </c>
      <c r="P2" s="1" t="s">
        <v>7</v>
      </c>
    </row>
    <row r="3" spans="1:16" ht="30" customHeight="1">
      <c r="A3" s="16">
        <v>33</v>
      </c>
      <c r="B3" s="48">
        <v>9</v>
      </c>
      <c r="C3" s="28" t="s">
        <v>352</v>
      </c>
      <c r="D3" s="16" t="s">
        <v>358</v>
      </c>
      <c r="E3" s="28"/>
      <c r="F3" s="28" t="s">
        <v>359</v>
      </c>
      <c r="G3" s="16" t="s">
        <v>174</v>
      </c>
      <c r="H3" s="16" t="s">
        <v>170</v>
      </c>
      <c r="I3" s="1"/>
      <c r="J3" s="1"/>
      <c r="K3" s="1"/>
      <c r="L3" s="1"/>
      <c r="M3" s="1"/>
      <c r="N3" s="1" t="s">
        <v>89</v>
      </c>
      <c r="O3" s="1"/>
      <c r="P3" s="1"/>
    </row>
    <row r="4" spans="1:16" ht="30" customHeight="1">
      <c r="A4" s="16">
        <v>34</v>
      </c>
      <c r="B4" s="49"/>
      <c r="C4" s="28" t="s">
        <v>360</v>
      </c>
      <c r="D4" s="16" t="s">
        <v>361</v>
      </c>
      <c r="E4" s="28" t="s">
        <v>178</v>
      </c>
      <c r="F4" s="28" t="s">
        <v>362</v>
      </c>
      <c r="G4" s="16" t="s">
        <v>174</v>
      </c>
      <c r="H4" s="16" t="s">
        <v>170</v>
      </c>
      <c r="I4" s="1"/>
      <c r="J4" s="1"/>
      <c r="K4" s="1"/>
      <c r="L4" s="1"/>
      <c r="M4" s="1"/>
      <c r="N4" s="1" t="s">
        <v>89</v>
      </c>
      <c r="O4" s="1"/>
      <c r="P4" s="1"/>
    </row>
    <row r="5" spans="1:16" ht="30" customHeight="1">
      <c r="A5" s="16">
        <v>35</v>
      </c>
      <c r="B5" s="49"/>
      <c r="C5" s="28" t="s">
        <v>360</v>
      </c>
      <c r="D5" s="16" t="s">
        <v>363</v>
      </c>
      <c r="E5" s="28"/>
      <c r="F5" s="28" t="s">
        <v>41</v>
      </c>
      <c r="G5" s="16" t="s">
        <v>174</v>
      </c>
      <c r="H5" s="16" t="s">
        <v>170</v>
      </c>
      <c r="I5" s="1"/>
      <c r="J5" s="1"/>
      <c r="K5" s="1"/>
      <c r="L5" s="1"/>
      <c r="M5" s="1"/>
      <c r="N5" s="1" t="s">
        <v>89</v>
      </c>
      <c r="O5" s="1"/>
      <c r="P5" s="1"/>
    </row>
    <row r="6" spans="1:16" ht="30" customHeight="1">
      <c r="A6" s="16">
        <v>36</v>
      </c>
      <c r="B6" s="50"/>
      <c r="C6" s="28"/>
      <c r="D6" s="16"/>
      <c r="E6" s="28"/>
      <c r="F6" s="28"/>
      <c r="G6" s="16"/>
      <c r="H6" s="16"/>
      <c r="I6" s="1"/>
      <c r="J6" s="1"/>
      <c r="K6" s="1"/>
      <c r="L6" s="1"/>
      <c r="M6" s="1"/>
      <c r="N6" s="1"/>
      <c r="O6" s="1"/>
      <c r="P6" s="1"/>
    </row>
    <row r="7" spans="1:16" ht="30" customHeight="1">
      <c r="A7" s="16">
        <v>37</v>
      </c>
      <c r="B7" s="48">
        <v>10</v>
      </c>
      <c r="C7" s="28" t="s">
        <v>360</v>
      </c>
      <c r="D7" s="16" t="s">
        <v>364</v>
      </c>
      <c r="E7" s="28"/>
      <c r="F7" s="28" t="s">
        <v>365</v>
      </c>
      <c r="G7" s="16" t="s">
        <v>174</v>
      </c>
      <c r="H7" s="16" t="s">
        <v>170</v>
      </c>
      <c r="I7" s="1"/>
      <c r="J7" s="1"/>
      <c r="K7" s="1"/>
      <c r="L7" s="1"/>
      <c r="M7" s="1"/>
      <c r="N7" s="1" t="s">
        <v>89</v>
      </c>
      <c r="O7" s="1"/>
      <c r="P7" s="1"/>
    </row>
    <row r="8" spans="1:16" ht="30" customHeight="1">
      <c r="A8" s="16">
        <v>38</v>
      </c>
      <c r="B8" s="49"/>
      <c r="C8" s="29" t="s">
        <v>360</v>
      </c>
      <c r="D8" s="30" t="s">
        <v>366</v>
      </c>
      <c r="E8" s="29"/>
      <c r="F8" s="29" t="s">
        <v>367</v>
      </c>
      <c r="G8" s="30" t="s">
        <v>169</v>
      </c>
      <c r="H8" s="30" t="s">
        <v>175</v>
      </c>
      <c r="I8" s="26"/>
      <c r="J8" s="26"/>
      <c r="K8" s="26"/>
      <c r="L8" s="26">
        <v>36</v>
      </c>
      <c r="M8" s="26"/>
      <c r="N8" s="26" t="s">
        <v>383</v>
      </c>
      <c r="O8" s="1"/>
      <c r="P8" s="1"/>
    </row>
    <row r="9" spans="1:16" ht="30" customHeight="1">
      <c r="A9" s="16">
        <v>39</v>
      </c>
      <c r="B9" s="49"/>
      <c r="C9" s="29" t="s">
        <v>360</v>
      </c>
      <c r="D9" s="30" t="s">
        <v>368</v>
      </c>
      <c r="E9" s="29"/>
      <c r="F9" s="29" t="s">
        <v>184</v>
      </c>
      <c r="G9" s="30" t="s">
        <v>169</v>
      </c>
      <c r="H9" s="30" t="s">
        <v>228</v>
      </c>
      <c r="I9" s="26"/>
      <c r="J9" s="26"/>
      <c r="K9" s="26"/>
      <c r="L9" s="26">
        <v>36</v>
      </c>
      <c r="M9" s="26"/>
      <c r="N9" s="26" t="s">
        <v>383</v>
      </c>
      <c r="O9" s="1"/>
      <c r="P9" s="1"/>
    </row>
    <row r="10" spans="1:16" ht="30" customHeight="1">
      <c r="A10" s="16">
        <v>40</v>
      </c>
      <c r="B10" s="50"/>
      <c r="C10" s="31" t="s">
        <v>360</v>
      </c>
      <c r="D10" s="32" t="s">
        <v>369</v>
      </c>
      <c r="E10" s="31"/>
      <c r="F10" s="31" t="s">
        <v>370</v>
      </c>
      <c r="G10" s="32" t="s">
        <v>169</v>
      </c>
      <c r="H10" s="32" t="s">
        <v>170</v>
      </c>
      <c r="I10" s="25"/>
      <c r="J10" s="25"/>
      <c r="K10" s="25"/>
      <c r="L10" s="25">
        <v>36</v>
      </c>
      <c r="M10" s="25"/>
      <c r="N10" s="25" t="s">
        <v>94</v>
      </c>
      <c r="O10" s="1"/>
      <c r="P10" s="1"/>
    </row>
    <row r="11" spans="1:16" ht="30" customHeight="1">
      <c r="A11" s="16">
        <v>41</v>
      </c>
      <c r="B11" s="48">
        <v>11</v>
      </c>
      <c r="C11" s="31" t="s">
        <v>360</v>
      </c>
      <c r="D11" s="32" t="s">
        <v>371</v>
      </c>
      <c r="E11" s="31"/>
      <c r="F11" s="31" t="s">
        <v>372</v>
      </c>
      <c r="G11" s="32" t="s">
        <v>169</v>
      </c>
      <c r="H11" s="32" t="s">
        <v>170</v>
      </c>
      <c r="I11" s="25"/>
      <c r="J11" s="25"/>
      <c r="K11" s="25"/>
      <c r="L11" s="25">
        <v>36</v>
      </c>
      <c r="M11" s="25"/>
      <c r="N11" s="25" t="s">
        <v>94</v>
      </c>
      <c r="O11" s="1"/>
      <c r="P11" s="1"/>
    </row>
    <row r="12" spans="1:16" ht="30" customHeight="1">
      <c r="A12" s="16">
        <v>42</v>
      </c>
      <c r="B12" s="49"/>
      <c r="C12" s="28" t="s">
        <v>360</v>
      </c>
      <c r="D12" s="16" t="s">
        <v>373</v>
      </c>
      <c r="E12" s="28"/>
      <c r="F12" s="28" t="s">
        <v>54</v>
      </c>
      <c r="G12" s="16" t="s">
        <v>174</v>
      </c>
      <c r="H12" s="16" t="s">
        <v>170</v>
      </c>
      <c r="I12" s="1"/>
      <c r="J12" s="1"/>
      <c r="K12" s="1"/>
      <c r="L12" s="1"/>
      <c r="M12" s="1"/>
      <c r="N12" s="1" t="s">
        <v>89</v>
      </c>
      <c r="O12" s="1"/>
      <c r="P12" s="1"/>
    </row>
    <row r="13" spans="1:16" ht="30" customHeight="1">
      <c r="A13" s="16">
        <v>43</v>
      </c>
      <c r="B13" s="49"/>
      <c r="C13" s="31" t="s">
        <v>360</v>
      </c>
      <c r="D13" s="32" t="s">
        <v>374</v>
      </c>
      <c r="E13" s="31"/>
      <c r="F13" s="31" t="s">
        <v>375</v>
      </c>
      <c r="G13" s="32" t="s">
        <v>169</v>
      </c>
      <c r="H13" s="32" t="s">
        <v>170</v>
      </c>
      <c r="I13" s="25"/>
      <c r="J13" s="25"/>
      <c r="K13" s="25"/>
      <c r="L13" s="25">
        <v>36</v>
      </c>
      <c r="M13" s="25"/>
      <c r="N13" s="25" t="s">
        <v>94</v>
      </c>
      <c r="O13" s="1"/>
      <c r="P13" s="1"/>
    </row>
    <row r="14" spans="1:16" ht="30" customHeight="1">
      <c r="A14" s="16">
        <v>44</v>
      </c>
      <c r="B14" s="50"/>
      <c r="C14" s="28"/>
      <c r="D14" s="16"/>
      <c r="E14" s="28"/>
      <c r="F14" s="28"/>
      <c r="G14" s="16"/>
      <c r="H14" s="16"/>
      <c r="I14" s="1"/>
      <c r="J14" s="1"/>
      <c r="K14" s="1"/>
      <c r="L14" s="1"/>
      <c r="M14" s="1"/>
      <c r="N14" s="1"/>
      <c r="O14" s="1"/>
      <c r="P14" s="1"/>
    </row>
    <row r="15" spans="1:16" ht="30" customHeight="1">
      <c r="A15" s="16">
        <v>45</v>
      </c>
      <c r="B15" s="48">
        <v>12</v>
      </c>
      <c r="C15" s="28" t="s">
        <v>360</v>
      </c>
      <c r="D15" s="16" t="s">
        <v>376</v>
      </c>
      <c r="E15" s="28"/>
      <c r="F15" s="28" t="s">
        <v>47</v>
      </c>
      <c r="G15" s="16" t="s">
        <v>174</v>
      </c>
      <c r="H15" s="16" t="s">
        <v>170</v>
      </c>
      <c r="I15" s="1"/>
      <c r="J15" s="1"/>
      <c r="K15" s="1"/>
      <c r="L15" s="1"/>
      <c r="M15" s="1"/>
      <c r="N15" s="1" t="s">
        <v>89</v>
      </c>
      <c r="O15" s="1"/>
      <c r="P15" s="1"/>
    </row>
    <row r="16" spans="1:16" ht="30" customHeight="1">
      <c r="A16" s="16">
        <v>46</v>
      </c>
      <c r="B16" s="49"/>
      <c r="C16" s="31" t="s">
        <v>360</v>
      </c>
      <c r="D16" s="32" t="s">
        <v>377</v>
      </c>
      <c r="E16" s="31"/>
      <c r="F16" s="31" t="s">
        <v>378</v>
      </c>
      <c r="G16" s="32" t="s">
        <v>169</v>
      </c>
      <c r="H16" s="32" t="s">
        <v>170</v>
      </c>
      <c r="I16" s="25"/>
      <c r="J16" s="25"/>
      <c r="K16" s="25"/>
      <c r="L16" s="25">
        <v>36</v>
      </c>
      <c r="M16" s="25"/>
      <c r="N16" s="25" t="s">
        <v>94</v>
      </c>
      <c r="O16" s="1"/>
      <c r="P16" s="1"/>
    </row>
    <row r="17" spans="1:16" ht="30" customHeight="1">
      <c r="A17" s="16">
        <v>47</v>
      </c>
      <c r="B17" s="49"/>
      <c r="C17" s="28" t="s">
        <v>379</v>
      </c>
      <c r="D17" s="16" t="s">
        <v>380</v>
      </c>
      <c r="E17" s="28" t="s">
        <v>167</v>
      </c>
      <c r="F17" s="28" t="s">
        <v>381</v>
      </c>
      <c r="G17" s="16" t="s">
        <v>174</v>
      </c>
      <c r="H17" s="16" t="s">
        <v>170</v>
      </c>
      <c r="I17" s="1"/>
      <c r="J17" s="1"/>
      <c r="K17" s="1"/>
      <c r="L17" s="1"/>
      <c r="M17" s="1"/>
      <c r="N17" s="1" t="s">
        <v>89</v>
      </c>
      <c r="O17" s="1"/>
      <c r="P17" s="4"/>
    </row>
    <row r="18" spans="1:16" ht="30" customHeight="1">
      <c r="A18" s="16">
        <v>48</v>
      </c>
      <c r="B18" s="50"/>
      <c r="C18" s="28" t="s">
        <v>191</v>
      </c>
      <c r="D18" s="16" t="s">
        <v>192</v>
      </c>
      <c r="E18" s="28" t="s">
        <v>193</v>
      </c>
      <c r="F18" s="28" t="s">
        <v>194</v>
      </c>
      <c r="G18" s="16" t="s">
        <v>174</v>
      </c>
      <c r="H18" s="16" t="s">
        <v>170</v>
      </c>
      <c r="I18" s="1"/>
      <c r="J18" s="1"/>
      <c r="K18" s="1"/>
      <c r="L18" s="1"/>
      <c r="M18" s="1"/>
      <c r="N18" s="1" t="s">
        <v>89</v>
      </c>
      <c r="O18" s="1"/>
      <c r="P18" s="4"/>
    </row>
  </sheetData>
  <autoFilter ref="A2:P18" xr:uid="{860B255A-4513-4E43-AEA4-D835803EB8B4}"/>
  <mergeCells count="4">
    <mergeCell ref="B3:B6"/>
    <mergeCell ref="B7:B10"/>
    <mergeCell ref="B11:B14"/>
    <mergeCell ref="B15:B18"/>
  </mergeCells>
  <phoneticPr fontId="1" type="noConversion"/>
  <printOptions horizontalCentered="1" verticalCentered="1"/>
  <pageMargins left="0.7" right="0.7" top="0.75" bottom="0.75" header="0.3" footer="0.3"/>
  <pageSetup paperSize="9" scale="70" orientation="landscape" horizontalDpi="0" verticalDpi="0" copies="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E8172-60DB-374B-8B14-5440AE13A665}">
  <dimension ref="A1:P19"/>
  <sheetViews>
    <sheetView zoomScale="125" workbookViewId="0">
      <pane xSplit="2" ySplit="2" topLeftCell="C3" activePane="bottomRight" state="frozen"/>
      <selection pane="topRight" activeCell="C1" sqref="C1"/>
      <selection pane="bottomLeft" activeCell="A2" sqref="A2"/>
      <selection pane="bottomRight" activeCell="K7" sqref="K7"/>
    </sheetView>
  </sheetViews>
  <sheetFormatPr baseColWidth="10" defaultRowHeight="17"/>
  <cols>
    <col min="1" max="2" width="5.83203125" style="18" customWidth="1"/>
    <col min="3" max="3" width="18.33203125" style="18" bestFit="1" customWidth="1"/>
    <col min="4" max="4" width="11.6640625" style="18" customWidth="1"/>
    <col min="5" max="5" width="7.5" style="18" customWidth="1"/>
    <col min="6" max="6" width="15.6640625" style="18" bestFit="1" customWidth="1"/>
    <col min="7" max="7" width="5.6640625" style="18" customWidth="1"/>
    <col min="8" max="8" width="8.6640625" style="18" bestFit="1" customWidth="1"/>
    <col min="9" max="11" width="10.83203125" style="2"/>
    <col min="12" max="12" width="4.83203125" style="2" customWidth="1"/>
    <col min="13" max="13" width="10.83203125" style="2"/>
    <col min="14" max="14" width="9" style="2" customWidth="1"/>
    <col min="15" max="15" width="17" style="2" customWidth="1"/>
    <col min="16" max="16" width="11.6640625" style="2" bestFit="1" customWidth="1"/>
    <col min="17" max="16384" width="10.83203125" style="2"/>
  </cols>
  <sheetData>
    <row r="1" spans="1:16" ht="57" customHeight="1">
      <c r="A1" s="14"/>
      <c r="B1" s="15"/>
      <c r="C1" s="15"/>
      <c r="D1" s="15"/>
      <c r="E1" s="15"/>
      <c r="F1" s="15"/>
      <c r="G1" s="15"/>
      <c r="H1" s="15"/>
      <c r="I1" s="10"/>
      <c r="J1" s="10"/>
      <c r="K1" s="10"/>
      <c r="L1" s="10"/>
      <c r="M1" s="10"/>
      <c r="N1" s="10"/>
      <c r="O1" s="10"/>
      <c r="P1" s="11"/>
    </row>
    <row r="2" spans="1:16" ht="58" customHeight="1">
      <c r="A2" s="19" t="s">
        <v>391</v>
      </c>
      <c r="B2" s="16" t="s">
        <v>0</v>
      </c>
      <c r="C2" s="16" t="s">
        <v>163</v>
      </c>
      <c r="D2" s="16" t="s">
        <v>1</v>
      </c>
      <c r="E2" s="17" t="s">
        <v>162</v>
      </c>
      <c r="F2" s="16" t="s">
        <v>88</v>
      </c>
      <c r="G2" s="17" t="s">
        <v>164</v>
      </c>
      <c r="H2" s="17" t="s">
        <v>165</v>
      </c>
      <c r="I2" s="1" t="s">
        <v>2</v>
      </c>
      <c r="J2" s="1" t="s">
        <v>3</v>
      </c>
      <c r="K2" s="1" t="s">
        <v>4</v>
      </c>
      <c r="L2" s="1" t="s">
        <v>5</v>
      </c>
      <c r="M2" s="1" t="s">
        <v>6</v>
      </c>
      <c r="N2" s="1" t="s">
        <v>90</v>
      </c>
      <c r="O2" s="5" t="s">
        <v>384</v>
      </c>
      <c r="P2" s="1" t="s">
        <v>7</v>
      </c>
    </row>
    <row r="3" spans="1:16" ht="31" customHeight="1">
      <c r="A3" s="16">
        <v>49</v>
      </c>
      <c r="B3" s="48">
        <v>13</v>
      </c>
      <c r="C3" s="29" t="s">
        <v>191</v>
      </c>
      <c r="D3" s="30" t="s">
        <v>195</v>
      </c>
      <c r="E3" s="29"/>
      <c r="F3" s="29" t="s">
        <v>196</v>
      </c>
      <c r="G3" s="30" t="s">
        <v>169</v>
      </c>
      <c r="H3" s="30" t="s">
        <v>175</v>
      </c>
      <c r="I3" s="26"/>
      <c r="J3" s="26"/>
      <c r="K3" s="26"/>
      <c r="L3" s="26">
        <v>36</v>
      </c>
      <c r="M3" s="26"/>
      <c r="N3" s="26" t="s">
        <v>383</v>
      </c>
      <c r="O3" s="1"/>
      <c r="P3" s="4"/>
    </row>
    <row r="4" spans="1:16" ht="31" customHeight="1">
      <c r="A4" s="16">
        <v>50</v>
      </c>
      <c r="B4" s="49"/>
      <c r="C4" s="31" t="s">
        <v>191</v>
      </c>
      <c r="D4" s="32" t="s">
        <v>197</v>
      </c>
      <c r="E4" s="31" t="s">
        <v>198</v>
      </c>
      <c r="F4" s="31" t="s">
        <v>199</v>
      </c>
      <c r="G4" s="32" t="s">
        <v>169</v>
      </c>
      <c r="H4" s="32" t="s">
        <v>170</v>
      </c>
      <c r="I4" s="25"/>
      <c r="J4" s="25"/>
      <c r="K4" s="25"/>
      <c r="L4" s="25">
        <v>36</v>
      </c>
      <c r="M4" s="25"/>
      <c r="N4" s="25" t="s">
        <v>94</v>
      </c>
      <c r="O4" s="1"/>
      <c r="P4" s="4"/>
    </row>
    <row r="5" spans="1:16" ht="31" customHeight="1">
      <c r="A5" s="16">
        <v>51</v>
      </c>
      <c r="B5" s="49"/>
      <c r="C5" s="28" t="s">
        <v>200</v>
      </c>
      <c r="D5" s="16" t="s">
        <v>201</v>
      </c>
      <c r="E5" s="28" t="s">
        <v>382</v>
      </c>
      <c r="F5" s="28" t="s">
        <v>202</v>
      </c>
      <c r="G5" s="16" t="s">
        <v>174</v>
      </c>
      <c r="H5" s="16" t="s">
        <v>170</v>
      </c>
      <c r="I5" s="1"/>
      <c r="J5" s="1"/>
      <c r="K5" s="1"/>
      <c r="L5" s="1"/>
      <c r="M5" s="1"/>
      <c r="N5" s="1" t="s">
        <v>89</v>
      </c>
      <c r="O5" s="1"/>
      <c r="P5" s="4"/>
    </row>
    <row r="6" spans="1:16" ht="31" customHeight="1">
      <c r="A6" s="16">
        <v>52</v>
      </c>
      <c r="B6" s="50"/>
      <c r="C6" s="28"/>
      <c r="D6" s="16"/>
      <c r="E6" s="28"/>
      <c r="F6" s="28"/>
      <c r="G6" s="16"/>
      <c r="H6" s="16"/>
      <c r="I6" s="1"/>
      <c r="J6" s="1"/>
      <c r="K6" s="1"/>
      <c r="L6" s="1"/>
      <c r="M6" s="1"/>
      <c r="N6" s="1"/>
      <c r="O6" s="1"/>
      <c r="P6" s="4"/>
    </row>
    <row r="7" spans="1:16" ht="31" customHeight="1">
      <c r="A7" s="16">
        <v>53</v>
      </c>
      <c r="B7" s="48">
        <v>14</v>
      </c>
      <c r="C7" s="28" t="s">
        <v>200</v>
      </c>
      <c r="D7" s="16" t="s">
        <v>203</v>
      </c>
      <c r="E7" s="28" t="s">
        <v>198</v>
      </c>
      <c r="F7" s="28" t="s">
        <v>204</v>
      </c>
      <c r="G7" s="16" t="s">
        <v>174</v>
      </c>
      <c r="H7" s="16" t="s">
        <v>170</v>
      </c>
      <c r="I7" s="1"/>
      <c r="J7" s="1"/>
      <c r="K7" s="1"/>
      <c r="L7" s="1"/>
      <c r="M7" s="1"/>
      <c r="N7" s="1" t="s">
        <v>89</v>
      </c>
      <c r="O7" s="1"/>
      <c r="P7" s="4"/>
    </row>
    <row r="8" spans="1:16" ht="31" customHeight="1">
      <c r="A8" s="16">
        <v>54</v>
      </c>
      <c r="B8" s="49"/>
      <c r="C8" s="28" t="s">
        <v>205</v>
      </c>
      <c r="D8" s="16" t="s">
        <v>206</v>
      </c>
      <c r="E8" s="28" t="s">
        <v>207</v>
      </c>
      <c r="F8" s="28" t="s">
        <v>208</v>
      </c>
      <c r="G8" s="16" t="s">
        <v>174</v>
      </c>
      <c r="H8" s="16" t="s">
        <v>170</v>
      </c>
      <c r="I8" s="1"/>
      <c r="J8" s="1"/>
      <c r="K8" s="1"/>
      <c r="L8" s="1"/>
      <c r="M8" s="1"/>
      <c r="N8" s="1" t="s">
        <v>89</v>
      </c>
      <c r="O8" s="1"/>
      <c r="P8" s="22" t="s">
        <v>385</v>
      </c>
    </row>
    <row r="9" spans="1:16" ht="31" customHeight="1">
      <c r="A9" s="16">
        <v>55</v>
      </c>
      <c r="B9" s="49"/>
      <c r="C9" s="28" t="s">
        <v>209</v>
      </c>
      <c r="D9" s="16" t="s">
        <v>20</v>
      </c>
      <c r="E9" s="28" t="s">
        <v>198</v>
      </c>
      <c r="F9" s="28" t="s">
        <v>210</v>
      </c>
      <c r="G9" s="16" t="s">
        <v>174</v>
      </c>
      <c r="H9" s="16" t="s">
        <v>170</v>
      </c>
      <c r="I9" s="1"/>
      <c r="J9" s="1"/>
      <c r="K9" s="1"/>
      <c r="L9" s="1"/>
      <c r="M9" s="1"/>
      <c r="N9" s="1" t="s">
        <v>89</v>
      </c>
      <c r="O9" s="1"/>
      <c r="P9" s="3"/>
    </row>
    <row r="10" spans="1:16" ht="31" customHeight="1">
      <c r="A10" s="16">
        <v>56</v>
      </c>
      <c r="B10" s="50"/>
      <c r="C10" s="28" t="s">
        <v>209</v>
      </c>
      <c r="D10" s="16" t="s">
        <v>211</v>
      </c>
      <c r="E10" s="28" t="s">
        <v>198</v>
      </c>
      <c r="F10" s="28" t="s">
        <v>212</v>
      </c>
      <c r="G10" s="16" t="s">
        <v>174</v>
      </c>
      <c r="H10" s="16" t="s">
        <v>170</v>
      </c>
      <c r="I10" s="1"/>
      <c r="J10" s="1"/>
      <c r="K10" s="1"/>
      <c r="L10" s="1"/>
      <c r="M10" s="1"/>
      <c r="N10" s="1" t="s">
        <v>89</v>
      </c>
      <c r="O10" s="1"/>
      <c r="P10" s="3"/>
    </row>
    <row r="11" spans="1:16" ht="31" customHeight="1">
      <c r="A11" s="16">
        <v>57</v>
      </c>
      <c r="B11" s="48">
        <v>15</v>
      </c>
      <c r="C11" s="28" t="s">
        <v>209</v>
      </c>
      <c r="D11" s="16" t="s">
        <v>21</v>
      </c>
      <c r="E11" s="28" t="s">
        <v>198</v>
      </c>
      <c r="F11" s="28" t="s">
        <v>213</v>
      </c>
      <c r="G11" s="16" t="s">
        <v>174</v>
      </c>
      <c r="H11" s="16" t="s">
        <v>170</v>
      </c>
      <c r="I11" s="1"/>
      <c r="J11" s="1"/>
      <c r="K11" s="1"/>
      <c r="L11" s="1"/>
      <c r="M11" s="1"/>
      <c r="N11" s="1" t="s">
        <v>89</v>
      </c>
      <c r="O11" s="1"/>
      <c r="P11" s="3"/>
    </row>
    <row r="12" spans="1:16" ht="31" customHeight="1">
      <c r="A12" s="16">
        <v>58</v>
      </c>
      <c r="B12" s="49"/>
      <c r="C12" s="31" t="s">
        <v>209</v>
      </c>
      <c r="D12" s="32" t="s">
        <v>214</v>
      </c>
      <c r="E12" s="31"/>
      <c r="F12" s="31" t="s">
        <v>215</v>
      </c>
      <c r="G12" s="32" t="s">
        <v>169</v>
      </c>
      <c r="H12" s="32" t="s">
        <v>170</v>
      </c>
      <c r="I12" s="25"/>
      <c r="J12" s="25"/>
      <c r="K12" s="25"/>
      <c r="L12" s="25">
        <v>36</v>
      </c>
      <c r="M12" s="25"/>
      <c r="N12" s="25" t="s">
        <v>94</v>
      </c>
      <c r="O12" s="1"/>
      <c r="P12" s="3"/>
    </row>
    <row r="13" spans="1:16" ht="31" customHeight="1">
      <c r="A13" s="16">
        <v>59</v>
      </c>
      <c r="B13" s="49"/>
      <c r="C13" s="28" t="s">
        <v>209</v>
      </c>
      <c r="D13" s="16" t="s">
        <v>216</v>
      </c>
      <c r="E13" s="28"/>
      <c r="F13" s="28" t="s">
        <v>217</v>
      </c>
      <c r="G13" s="16" t="s">
        <v>174</v>
      </c>
      <c r="H13" s="16" t="s">
        <v>170</v>
      </c>
      <c r="I13" s="1"/>
      <c r="J13" s="1"/>
      <c r="K13" s="1"/>
      <c r="L13" s="1"/>
      <c r="M13" s="1"/>
      <c r="N13" s="1" t="s">
        <v>89</v>
      </c>
      <c r="O13" s="1"/>
      <c r="P13" s="3"/>
    </row>
    <row r="14" spans="1:16" ht="31" customHeight="1">
      <c r="A14" s="16">
        <v>60</v>
      </c>
      <c r="B14" s="50"/>
      <c r="C14" s="28"/>
      <c r="D14" s="16"/>
      <c r="E14" s="28"/>
      <c r="F14" s="28"/>
      <c r="G14" s="16"/>
      <c r="H14" s="16"/>
      <c r="I14" s="1"/>
      <c r="J14" s="1"/>
      <c r="K14" s="1"/>
      <c r="L14" s="1"/>
      <c r="M14" s="1"/>
      <c r="N14" s="1"/>
      <c r="O14" s="1"/>
      <c r="P14" s="3"/>
    </row>
    <row r="15" spans="1:16" ht="31" customHeight="1">
      <c r="A15" s="16">
        <v>61</v>
      </c>
      <c r="B15" s="48">
        <v>16</v>
      </c>
      <c r="C15" s="31" t="s">
        <v>209</v>
      </c>
      <c r="D15" s="32" t="s">
        <v>218</v>
      </c>
      <c r="E15" s="31"/>
      <c r="F15" s="31" t="s">
        <v>43</v>
      </c>
      <c r="G15" s="32" t="s">
        <v>169</v>
      </c>
      <c r="H15" s="32" t="s">
        <v>170</v>
      </c>
      <c r="I15" s="25"/>
      <c r="J15" s="25"/>
      <c r="K15" s="25"/>
      <c r="L15" s="25">
        <v>36</v>
      </c>
      <c r="M15" s="25"/>
      <c r="N15" s="25" t="s">
        <v>94</v>
      </c>
      <c r="O15" s="1"/>
      <c r="P15" s="3"/>
    </row>
    <row r="16" spans="1:16" ht="31" customHeight="1">
      <c r="A16" s="16">
        <v>62</v>
      </c>
      <c r="B16" s="49"/>
      <c r="C16" s="28" t="s">
        <v>219</v>
      </c>
      <c r="D16" s="16" t="s">
        <v>220</v>
      </c>
      <c r="E16" s="28" t="s">
        <v>221</v>
      </c>
      <c r="F16" s="28" t="s">
        <v>34</v>
      </c>
      <c r="G16" s="16" t="s">
        <v>174</v>
      </c>
      <c r="H16" s="16" t="s">
        <v>170</v>
      </c>
      <c r="I16" s="1"/>
      <c r="J16" s="1"/>
      <c r="K16" s="1"/>
      <c r="L16" s="1"/>
      <c r="M16" s="1"/>
      <c r="N16" s="1" t="s">
        <v>89</v>
      </c>
      <c r="O16" s="1"/>
      <c r="P16" s="3"/>
    </row>
    <row r="17" spans="1:16" ht="31" customHeight="1">
      <c r="A17" s="16">
        <v>63</v>
      </c>
      <c r="B17" s="49"/>
      <c r="C17" s="28" t="s">
        <v>219</v>
      </c>
      <c r="D17" s="16" t="s">
        <v>222</v>
      </c>
      <c r="E17" s="28" t="s">
        <v>198</v>
      </c>
      <c r="F17" s="28" t="s">
        <v>223</v>
      </c>
      <c r="G17" s="16" t="s">
        <v>174</v>
      </c>
      <c r="H17" s="16" t="s">
        <v>170</v>
      </c>
      <c r="I17" s="1"/>
      <c r="J17" s="1"/>
      <c r="K17" s="1"/>
      <c r="L17" s="1"/>
      <c r="M17" s="1"/>
      <c r="N17" s="1" t="s">
        <v>89</v>
      </c>
      <c r="O17" s="1"/>
      <c r="P17" s="3"/>
    </row>
    <row r="18" spans="1:16" ht="31" customHeight="1">
      <c r="A18" s="16">
        <v>64</v>
      </c>
      <c r="B18" s="50"/>
      <c r="C18" s="29" t="s">
        <v>219</v>
      </c>
      <c r="D18" s="30" t="s">
        <v>224</v>
      </c>
      <c r="E18" s="29"/>
      <c r="F18" s="29" t="s">
        <v>225</v>
      </c>
      <c r="G18" s="30" t="s">
        <v>169</v>
      </c>
      <c r="H18" s="30" t="s">
        <v>175</v>
      </c>
      <c r="I18" s="26"/>
      <c r="J18" s="26"/>
      <c r="K18" s="26"/>
      <c r="L18" s="26">
        <v>36</v>
      </c>
      <c r="M18" s="26"/>
      <c r="N18" s="26" t="s">
        <v>383</v>
      </c>
      <c r="O18" s="1"/>
      <c r="P18" s="3"/>
    </row>
    <row r="19" spans="1:16" ht="31" customHeight="1"/>
  </sheetData>
  <autoFilter ref="A2:P18" xr:uid="{860B255A-4513-4E43-AEA4-D835803EB8B4}"/>
  <mergeCells count="4">
    <mergeCell ref="B3:B6"/>
    <mergeCell ref="B7:B10"/>
    <mergeCell ref="B11:B14"/>
    <mergeCell ref="B15:B18"/>
  </mergeCells>
  <phoneticPr fontId="1" type="noConversion"/>
  <printOptions horizontalCentered="1" verticalCentered="1"/>
  <pageMargins left="0.7" right="0.7" top="0.75" bottom="0.75" header="0.3" footer="0.3"/>
  <pageSetup paperSize="9" scale="70" orientation="landscape" horizontalDpi="0" verticalDpi="0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AF58C2-5960-7E4F-9270-718DE5DF4BA7}">
  <dimension ref="A1:P18"/>
  <sheetViews>
    <sheetView workbookViewId="0">
      <pane xSplit="2" ySplit="2" topLeftCell="C3" activePane="bottomRight" state="frozen"/>
      <selection pane="topRight" activeCell="C1" sqref="C1"/>
      <selection pane="bottomLeft" activeCell="A2" sqref="A2"/>
      <selection pane="bottomRight" activeCell="I10" sqref="I10"/>
    </sheetView>
  </sheetViews>
  <sheetFormatPr baseColWidth="10" defaultRowHeight="17"/>
  <cols>
    <col min="1" max="2" width="5.83203125" style="18" customWidth="1"/>
    <col min="3" max="3" width="18.33203125" style="18" bestFit="1" customWidth="1"/>
    <col min="4" max="4" width="11.6640625" style="18" customWidth="1"/>
    <col min="5" max="5" width="7.5" style="18" customWidth="1"/>
    <col min="6" max="6" width="15.6640625" style="18" bestFit="1" customWidth="1"/>
    <col min="7" max="7" width="5.6640625" style="18" customWidth="1"/>
    <col min="8" max="8" width="8.6640625" style="18" bestFit="1" customWidth="1"/>
    <col min="9" max="11" width="10.83203125" style="2"/>
    <col min="12" max="12" width="4.83203125" style="2" customWidth="1"/>
    <col min="13" max="13" width="10.83203125" style="2"/>
    <col min="14" max="14" width="9" style="2" customWidth="1"/>
    <col min="15" max="15" width="17" style="2" customWidth="1"/>
    <col min="16" max="16" width="11.6640625" style="2" bestFit="1" customWidth="1"/>
    <col min="17" max="16384" width="10.83203125" style="2"/>
  </cols>
  <sheetData>
    <row r="1" spans="1:16" ht="57" customHeight="1">
      <c r="A1" s="14"/>
      <c r="B1" s="15"/>
      <c r="C1" s="15"/>
      <c r="D1" s="15"/>
      <c r="E1" s="15"/>
      <c r="F1" s="15"/>
      <c r="G1" s="15"/>
      <c r="H1" s="15"/>
      <c r="I1" s="10"/>
      <c r="J1" s="10"/>
      <c r="K1" s="10"/>
      <c r="L1" s="10"/>
      <c r="M1" s="10"/>
      <c r="N1" s="10"/>
      <c r="O1" s="10"/>
      <c r="P1" s="11"/>
    </row>
    <row r="2" spans="1:16" ht="58" customHeight="1">
      <c r="A2" s="19" t="s">
        <v>391</v>
      </c>
      <c r="B2" s="16" t="s">
        <v>0</v>
      </c>
      <c r="C2" s="16" t="s">
        <v>163</v>
      </c>
      <c r="D2" s="16" t="s">
        <v>1</v>
      </c>
      <c r="E2" s="17" t="s">
        <v>162</v>
      </c>
      <c r="F2" s="16" t="s">
        <v>88</v>
      </c>
      <c r="G2" s="17" t="s">
        <v>164</v>
      </c>
      <c r="H2" s="17" t="s">
        <v>165</v>
      </c>
      <c r="I2" s="1" t="s">
        <v>2</v>
      </c>
      <c r="J2" s="1" t="s">
        <v>3</v>
      </c>
      <c r="K2" s="1" t="s">
        <v>4</v>
      </c>
      <c r="L2" s="1" t="s">
        <v>5</v>
      </c>
      <c r="M2" s="1" t="s">
        <v>6</v>
      </c>
      <c r="N2" s="1" t="s">
        <v>90</v>
      </c>
      <c r="O2" s="5" t="s">
        <v>384</v>
      </c>
      <c r="P2" s="1" t="s">
        <v>7</v>
      </c>
    </row>
    <row r="3" spans="1:16" ht="31" customHeight="1">
      <c r="A3" s="16">
        <v>65</v>
      </c>
      <c r="B3" s="48">
        <v>17</v>
      </c>
      <c r="C3" s="29" t="s">
        <v>219</v>
      </c>
      <c r="D3" s="30" t="s">
        <v>226</v>
      </c>
      <c r="E3" s="29"/>
      <c r="F3" s="29" t="s">
        <v>227</v>
      </c>
      <c r="G3" s="30" t="s">
        <v>169</v>
      </c>
      <c r="H3" s="30" t="s">
        <v>228</v>
      </c>
      <c r="I3" s="26"/>
      <c r="J3" s="26"/>
      <c r="K3" s="26"/>
      <c r="L3" s="26">
        <v>36</v>
      </c>
      <c r="M3" s="26">
        <f t="shared" ref="M3:M5" si="0">SUM(I3:L3)</f>
        <v>36</v>
      </c>
      <c r="N3" s="26" t="s">
        <v>383</v>
      </c>
      <c r="O3" s="1"/>
      <c r="P3" s="3"/>
    </row>
    <row r="4" spans="1:16" ht="31" customHeight="1">
      <c r="A4" s="16">
        <v>66</v>
      </c>
      <c r="B4" s="49"/>
      <c r="C4" s="28" t="s">
        <v>219</v>
      </c>
      <c r="D4" s="16" t="s">
        <v>229</v>
      </c>
      <c r="E4" s="28"/>
      <c r="F4" s="28" t="s">
        <v>47</v>
      </c>
      <c r="G4" s="16" t="s">
        <v>174</v>
      </c>
      <c r="H4" s="16" t="s">
        <v>170</v>
      </c>
      <c r="I4" s="1"/>
      <c r="J4" s="1"/>
      <c r="K4" s="1"/>
      <c r="L4" s="1"/>
      <c r="M4" s="1">
        <f t="shared" si="0"/>
        <v>0</v>
      </c>
      <c r="N4" s="1" t="s">
        <v>89</v>
      </c>
      <c r="O4" s="1"/>
      <c r="P4" s="3"/>
    </row>
    <row r="5" spans="1:16" ht="31" customHeight="1">
      <c r="A5" s="16">
        <v>67</v>
      </c>
      <c r="B5" s="49"/>
      <c r="C5" s="28" t="s">
        <v>219</v>
      </c>
      <c r="D5" s="16" t="s">
        <v>230</v>
      </c>
      <c r="E5" s="28"/>
      <c r="F5" s="28" t="s">
        <v>231</v>
      </c>
      <c r="G5" s="16" t="s">
        <v>174</v>
      </c>
      <c r="H5" s="16" t="s">
        <v>170</v>
      </c>
      <c r="I5" s="1"/>
      <c r="J5" s="1"/>
      <c r="K5" s="1"/>
      <c r="L5" s="1"/>
      <c r="M5" s="1">
        <f t="shared" si="0"/>
        <v>0</v>
      </c>
      <c r="N5" s="1" t="s">
        <v>89</v>
      </c>
      <c r="O5" s="1"/>
      <c r="P5" s="3"/>
    </row>
    <row r="6" spans="1:16" ht="31" customHeight="1">
      <c r="A6" s="16">
        <v>68</v>
      </c>
      <c r="B6" s="50"/>
      <c r="C6" s="28"/>
      <c r="D6" s="16"/>
      <c r="E6" s="28"/>
      <c r="F6" s="28"/>
      <c r="G6" s="16"/>
      <c r="H6" s="16"/>
      <c r="I6" s="1"/>
      <c r="J6" s="1"/>
      <c r="K6" s="1"/>
      <c r="L6" s="1"/>
      <c r="M6" s="1"/>
      <c r="N6" s="1"/>
      <c r="O6" s="1"/>
      <c r="P6" s="3"/>
    </row>
    <row r="7" spans="1:16" ht="31" customHeight="1">
      <c r="A7" s="16">
        <v>69</v>
      </c>
      <c r="B7" s="48">
        <v>18</v>
      </c>
      <c r="C7" s="28" t="s">
        <v>285</v>
      </c>
      <c r="D7" s="16" t="s">
        <v>53</v>
      </c>
      <c r="E7" s="28" t="s">
        <v>193</v>
      </c>
      <c r="F7" s="28" t="s">
        <v>213</v>
      </c>
      <c r="G7" s="16" t="s">
        <v>174</v>
      </c>
      <c r="H7" s="16" t="s">
        <v>170</v>
      </c>
      <c r="I7" s="1"/>
      <c r="J7" s="1"/>
      <c r="K7" s="1"/>
      <c r="L7" s="1"/>
      <c r="M7" s="1">
        <f t="shared" ref="M7:M18" si="1">SUM(I7:L7)</f>
        <v>0</v>
      </c>
      <c r="N7" s="1" t="s">
        <v>89</v>
      </c>
      <c r="O7" s="1"/>
      <c r="P7" s="22" t="s">
        <v>407</v>
      </c>
    </row>
    <row r="8" spans="1:16" ht="31" customHeight="1">
      <c r="A8" s="16">
        <v>70</v>
      </c>
      <c r="B8" s="49"/>
      <c r="C8" s="31" t="s">
        <v>285</v>
      </c>
      <c r="D8" s="32" t="s">
        <v>286</v>
      </c>
      <c r="E8" s="31"/>
      <c r="F8" s="31" t="s">
        <v>287</v>
      </c>
      <c r="G8" s="32" t="s">
        <v>169</v>
      </c>
      <c r="H8" s="32" t="s">
        <v>170</v>
      </c>
      <c r="I8" s="25"/>
      <c r="J8" s="25"/>
      <c r="K8" s="25"/>
      <c r="L8" s="25">
        <v>36</v>
      </c>
      <c r="M8" s="25">
        <f t="shared" si="1"/>
        <v>36</v>
      </c>
      <c r="N8" s="25" t="s">
        <v>94</v>
      </c>
      <c r="O8" s="1"/>
      <c r="P8" s="1"/>
    </row>
    <row r="9" spans="1:16" ht="31" customHeight="1">
      <c r="A9" s="16">
        <v>71</v>
      </c>
      <c r="B9" s="49"/>
      <c r="C9" s="28" t="s">
        <v>288</v>
      </c>
      <c r="D9" s="16" t="s">
        <v>289</v>
      </c>
      <c r="E9" s="28" t="s">
        <v>178</v>
      </c>
      <c r="F9" s="28" t="s">
        <v>48</v>
      </c>
      <c r="G9" s="16" t="s">
        <v>174</v>
      </c>
      <c r="H9" s="16" t="s">
        <v>170</v>
      </c>
      <c r="I9" s="1"/>
      <c r="J9" s="1"/>
      <c r="K9" s="1"/>
      <c r="L9" s="1"/>
      <c r="M9" s="1">
        <f t="shared" si="1"/>
        <v>0</v>
      </c>
      <c r="N9" s="1" t="s">
        <v>89</v>
      </c>
      <c r="O9" s="1"/>
      <c r="P9" s="1"/>
    </row>
    <row r="10" spans="1:16" ht="31" customHeight="1">
      <c r="A10" s="16">
        <v>72</v>
      </c>
      <c r="B10" s="50"/>
      <c r="C10" s="28" t="s">
        <v>288</v>
      </c>
      <c r="D10" s="16" t="s">
        <v>290</v>
      </c>
      <c r="E10" s="28" t="s">
        <v>171</v>
      </c>
      <c r="F10" s="28" t="s">
        <v>291</v>
      </c>
      <c r="G10" s="16" t="s">
        <v>174</v>
      </c>
      <c r="H10" s="16" t="s">
        <v>170</v>
      </c>
      <c r="I10" s="1"/>
      <c r="J10" s="1"/>
      <c r="K10" s="1"/>
      <c r="L10" s="1"/>
      <c r="M10" s="1">
        <f t="shared" si="1"/>
        <v>0</v>
      </c>
      <c r="N10" s="1" t="s">
        <v>89</v>
      </c>
      <c r="O10" s="1"/>
      <c r="P10" s="1"/>
    </row>
    <row r="11" spans="1:16" ht="31" customHeight="1">
      <c r="A11" s="16">
        <v>73</v>
      </c>
      <c r="B11" s="48">
        <v>19</v>
      </c>
      <c r="C11" s="28" t="s">
        <v>288</v>
      </c>
      <c r="D11" s="16" t="s">
        <v>292</v>
      </c>
      <c r="E11" s="28"/>
      <c r="F11" s="28" t="s">
        <v>293</v>
      </c>
      <c r="G11" s="16" t="s">
        <v>174</v>
      </c>
      <c r="H11" s="16" t="s">
        <v>170</v>
      </c>
      <c r="I11" s="1"/>
      <c r="J11" s="1"/>
      <c r="K11" s="1"/>
      <c r="L11" s="1"/>
      <c r="M11" s="1">
        <f t="shared" si="1"/>
        <v>0</v>
      </c>
      <c r="N11" s="1" t="s">
        <v>89</v>
      </c>
      <c r="O11" s="1"/>
      <c r="P11" s="1"/>
    </row>
    <row r="12" spans="1:16" ht="31" customHeight="1">
      <c r="A12" s="33">
        <v>74</v>
      </c>
      <c r="B12" s="49"/>
      <c r="C12" s="28"/>
      <c r="D12" s="16"/>
      <c r="E12" s="28"/>
      <c r="F12" s="28"/>
      <c r="G12" s="16"/>
      <c r="H12" s="16"/>
      <c r="I12" s="1"/>
      <c r="J12" s="1"/>
      <c r="K12" s="1"/>
      <c r="L12" s="1"/>
      <c r="M12" s="1"/>
      <c r="N12" s="1"/>
      <c r="O12" s="1"/>
      <c r="P12" s="1"/>
    </row>
    <row r="13" spans="1:16" ht="31" customHeight="1">
      <c r="A13" s="16">
        <v>75</v>
      </c>
      <c r="B13" s="49"/>
      <c r="C13" s="31" t="s">
        <v>268</v>
      </c>
      <c r="D13" s="32" t="s">
        <v>269</v>
      </c>
      <c r="E13" s="31" t="s">
        <v>178</v>
      </c>
      <c r="F13" s="31" t="s">
        <v>270</v>
      </c>
      <c r="G13" s="32" t="s">
        <v>169</v>
      </c>
      <c r="H13" s="32" t="s">
        <v>170</v>
      </c>
      <c r="I13" s="25"/>
      <c r="J13" s="25"/>
      <c r="K13" s="25"/>
      <c r="L13" s="25">
        <v>36</v>
      </c>
      <c r="M13" s="25">
        <f t="shared" si="1"/>
        <v>36</v>
      </c>
      <c r="N13" s="25" t="s">
        <v>94</v>
      </c>
      <c r="O13" s="1"/>
      <c r="P13" s="22"/>
    </row>
    <row r="14" spans="1:16" ht="31" customHeight="1">
      <c r="A14" s="33">
        <v>76</v>
      </c>
      <c r="B14" s="50"/>
      <c r="C14" s="28" t="s">
        <v>288</v>
      </c>
      <c r="D14" s="16" t="s">
        <v>406</v>
      </c>
      <c r="E14" s="28"/>
      <c r="F14" s="28" t="s">
        <v>80</v>
      </c>
      <c r="G14" s="16" t="s">
        <v>174</v>
      </c>
      <c r="H14" s="16" t="s">
        <v>170</v>
      </c>
      <c r="I14" s="1"/>
      <c r="J14" s="1"/>
      <c r="K14" s="1"/>
      <c r="L14" s="1"/>
      <c r="M14" s="1">
        <f t="shared" si="1"/>
        <v>0</v>
      </c>
      <c r="N14" s="1" t="s">
        <v>89</v>
      </c>
      <c r="O14" s="1"/>
      <c r="P14" s="22"/>
    </row>
    <row r="15" spans="1:16" ht="31" customHeight="1">
      <c r="A15" s="16">
        <v>77</v>
      </c>
      <c r="B15" s="48">
        <v>20</v>
      </c>
      <c r="C15" s="29" t="s">
        <v>268</v>
      </c>
      <c r="D15" s="30" t="s">
        <v>271</v>
      </c>
      <c r="E15" s="29"/>
      <c r="F15" s="29" t="s">
        <v>14</v>
      </c>
      <c r="G15" s="30" t="s">
        <v>174</v>
      </c>
      <c r="H15" s="30" t="s">
        <v>175</v>
      </c>
      <c r="I15" s="26"/>
      <c r="J15" s="26"/>
      <c r="K15" s="26"/>
      <c r="L15" s="26"/>
      <c r="M15" s="26">
        <f t="shared" si="1"/>
        <v>0</v>
      </c>
      <c r="N15" s="26" t="s">
        <v>383</v>
      </c>
      <c r="O15" s="1"/>
      <c r="P15" s="22" t="s">
        <v>387</v>
      </c>
    </row>
    <row r="16" spans="1:16" ht="31" customHeight="1">
      <c r="A16" s="16">
        <v>78</v>
      </c>
      <c r="B16" s="49"/>
      <c r="C16" s="28" t="s">
        <v>272</v>
      </c>
      <c r="D16" s="16" t="s">
        <v>42</v>
      </c>
      <c r="E16" s="28" t="s">
        <v>198</v>
      </c>
      <c r="F16" s="28" t="s">
        <v>273</v>
      </c>
      <c r="G16" s="16" t="s">
        <v>174</v>
      </c>
      <c r="H16" s="16" t="s">
        <v>170</v>
      </c>
      <c r="I16" s="1"/>
      <c r="J16" s="1"/>
      <c r="K16" s="1"/>
      <c r="L16" s="1"/>
      <c r="M16" s="1">
        <f t="shared" si="1"/>
        <v>0</v>
      </c>
      <c r="N16" s="1" t="s">
        <v>89</v>
      </c>
      <c r="O16" s="1"/>
      <c r="P16" s="22"/>
    </row>
    <row r="17" spans="1:16" ht="31" customHeight="1">
      <c r="A17" s="16">
        <v>79</v>
      </c>
      <c r="B17" s="49"/>
      <c r="C17" s="28" t="s">
        <v>274</v>
      </c>
      <c r="D17" s="16" t="s">
        <v>275</v>
      </c>
      <c r="E17" s="28" t="s">
        <v>207</v>
      </c>
      <c r="F17" s="28" t="s">
        <v>66</v>
      </c>
      <c r="G17" s="16" t="s">
        <v>174</v>
      </c>
      <c r="H17" s="16" t="s">
        <v>170</v>
      </c>
      <c r="I17" s="1"/>
      <c r="J17" s="1"/>
      <c r="K17" s="1"/>
      <c r="L17" s="1"/>
      <c r="M17" s="1">
        <f t="shared" si="1"/>
        <v>0</v>
      </c>
      <c r="N17" s="1" t="s">
        <v>89</v>
      </c>
      <c r="O17" s="1"/>
      <c r="P17" s="1"/>
    </row>
    <row r="18" spans="1:16" ht="31" customHeight="1">
      <c r="A18" s="16">
        <v>80</v>
      </c>
      <c r="B18" s="50"/>
      <c r="C18" s="28" t="s">
        <v>274</v>
      </c>
      <c r="D18" s="16" t="s">
        <v>44</v>
      </c>
      <c r="E18" s="28" t="s">
        <v>167</v>
      </c>
      <c r="F18" s="28" t="s">
        <v>276</v>
      </c>
      <c r="G18" s="16" t="s">
        <v>174</v>
      </c>
      <c r="H18" s="16" t="s">
        <v>170</v>
      </c>
      <c r="I18" s="1"/>
      <c r="J18" s="1"/>
      <c r="K18" s="1"/>
      <c r="L18" s="1"/>
      <c r="M18" s="1">
        <f t="shared" si="1"/>
        <v>0</v>
      </c>
      <c r="N18" s="1" t="s">
        <v>89</v>
      </c>
      <c r="O18" s="1"/>
      <c r="P18" s="1"/>
    </row>
  </sheetData>
  <autoFilter ref="A2:P18" xr:uid="{860B255A-4513-4E43-AEA4-D835803EB8B4}"/>
  <mergeCells count="4">
    <mergeCell ref="B11:B14"/>
    <mergeCell ref="B15:B18"/>
    <mergeCell ref="B3:B6"/>
    <mergeCell ref="B7:B10"/>
  </mergeCells>
  <phoneticPr fontId="1" type="noConversion"/>
  <printOptions horizontalCentered="1" verticalCentered="1"/>
  <pageMargins left="0.7" right="0.7" top="0.75" bottom="0.75" header="0.3" footer="0.3"/>
  <pageSetup paperSize="9" scale="70" orientation="landscape" horizontalDpi="0" verticalDpi="0" copies="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547DF-DCE1-B342-96AF-9A9BFB233DBE}">
  <sheetPr>
    <pageSetUpPr fitToPage="1"/>
  </sheetPr>
  <dimension ref="A1:P18"/>
  <sheetViews>
    <sheetView zoomScale="125" workbookViewId="0">
      <pane xSplit="2" ySplit="2" topLeftCell="C3" activePane="bottomRight" state="frozen"/>
      <selection pane="topRight" activeCell="C1" sqref="C1"/>
      <selection pane="bottomLeft" activeCell="A2" sqref="A2"/>
      <selection pane="bottomRight" activeCell="K4" sqref="K4"/>
    </sheetView>
  </sheetViews>
  <sheetFormatPr baseColWidth="10" defaultRowHeight="17"/>
  <cols>
    <col min="1" max="2" width="5.83203125" style="18" customWidth="1"/>
    <col min="3" max="3" width="18.33203125" style="18" bestFit="1" customWidth="1"/>
    <col min="4" max="4" width="11.6640625" style="18" customWidth="1"/>
    <col min="5" max="5" width="7.5" style="18" customWidth="1"/>
    <col min="6" max="6" width="15.6640625" style="18" bestFit="1" customWidth="1"/>
    <col min="7" max="7" width="5.6640625" style="18" customWidth="1"/>
    <col min="8" max="8" width="8.6640625" style="18" bestFit="1" customWidth="1"/>
    <col min="9" max="11" width="10.83203125" style="2"/>
    <col min="12" max="12" width="4.83203125" style="2" customWidth="1"/>
    <col min="13" max="13" width="10.83203125" style="2"/>
    <col min="14" max="14" width="9" style="2" customWidth="1"/>
    <col min="15" max="15" width="17" style="2" customWidth="1"/>
    <col min="16" max="16" width="11.6640625" style="2" bestFit="1" customWidth="1"/>
    <col min="17" max="16384" width="10.83203125" style="2"/>
  </cols>
  <sheetData>
    <row r="1" spans="1:16" ht="57" customHeight="1">
      <c r="A1" s="14"/>
      <c r="B1" s="15"/>
      <c r="C1" s="15"/>
      <c r="D1" s="15"/>
      <c r="E1" s="15"/>
      <c r="F1" s="15"/>
      <c r="G1" s="15"/>
      <c r="H1" s="15"/>
      <c r="I1" s="10"/>
      <c r="J1" s="10"/>
      <c r="K1" s="10"/>
      <c r="L1" s="10"/>
      <c r="M1" s="10"/>
      <c r="N1" s="10"/>
      <c r="O1" s="10"/>
      <c r="P1" s="11"/>
    </row>
    <row r="2" spans="1:16" ht="58" customHeight="1">
      <c r="A2" s="19" t="s">
        <v>391</v>
      </c>
      <c r="B2" s="16" t="s">
        <v>0</v>
      </c>
      <c r="C2" s="16" t="s">
        <v>163</v>
      </c>
      <c r="D2" s="16" t="s">
        <v>1</v>
      </c>
      <c r="E2" s="17" t="s">
        <v>162</v>
      </c>
      <c r="F2" s="16" t="s">
        <v>88</v>
      </c>
      <c r="G2" s="17" t="s">
        <v>164</v>
      </c>
      <c r="H2" s="17" t="s">
        <v>165</v>
      </c>
      <c r="I2" s="1" t="s">
        <v>2</v>
      </c>
      <c r="J2" s="1" t="s">
        <v>3</v>
      </c>
      <c r="K2" s="1" t="s">
        <v>4</v>
      </c>
      <c r="L2" s="1" t="s">
        <v>5</v>
      </c>
      <c r="M2" s="1" t="s">
        <v>6</v>
      </c>
      <c r="N2" s="1" t="s">
        <v>90</v>
      </c>
      <c r="O2" s="5" t="s">
        <v>384</v>
      </c>
      <c r="P2" s="1" t="s">
        <v>7</v>
      </c>
    </row>
    <row r="3" spans="1:16" ht="31" customHeight="1">
      <c r="A3" s="16">
        <v>81</v>
      </c>
      <c r="B3" s="48">
        <v>21</v>
      </c>
      <c r="C3" s="20" t="s">
        <v>274</v>
      </c>
      <c r="D3" s="21" t="s">
        <v>45</v>
      </c>
      <c r="E3" s="20" t="s">
        <v>180</v>
      </c>
      <c r="F3" s="20" t="s">
        <v>46</v>
      </c>
      <c r="G3" s="21" t="s">
        <v>174</v>
      </c>
      <c r="H3" s="21" t="s">
        <v>170</v>
      </c>
      <c r="I3" s="1"/>
      <c r="J3" s="1"/>
      <c r="K3" s="1"/>
      <c r="L3" s="1"/>
      <c r="M3" s="1"/>
      <c r="N3" s="1" t="s">
        <v>89</v>
      </c>
      <c r="O3" s="1"/>
      <c r="P3" s="1"/>
    </row>
    <row r="4" spans="1:16" ht="31" customHeight="1">
      <c r="A4" s="16">
        <v>82</v>
      </c>
      <c r="B4" s="49"/>
      <c r="C4" s="20" t="s">
        <v>274</v>
      </c>
      <c r="D4" s="21" t="s">
        <v>49</v>
      </c>
      <c r="E4" s="20"/>
      <c r="F4" s="20" t="s">
        <v>277</v>
      </c>
      <c r="G4" s="21" t="s">
        <v>174</v>
      </c>
      <c r="H4" s="21" t="s">
        <v>170</v>
      </c>
      <c r="I4" s="1"/>
      <c r="J4" s="1"/>
      <c r="K4" s="1"/>
      <c r="L4" s="1"/>
      <c r="M4" s="1"/>
      <c r="N4" s="1" t="s">
        <v>89</v>
      </c>
      <c r="O4" s="1"/>
      <c r="P4" s="1"/>
    </row>
    <row r="5" spans="1:16" ht="31" customHeight="1">
      <c r="A5" s="16">
        <v>83</v>
      </c>
      <c r="B5" s="49"/>
      <c r="C5" s="20" t="s">
        <v>274</v>
      </c>
      <c r="D5" s="21" t="s">
        <v>51</v>
      </c>
      <c r="E5" s="20"/>
      <c r="F5" s="20" t="s">
        <v>52</v>
      </c>
      <c r="G5" s="21" t="s">
        <v>174</v>
      </c>
      <c r="H5" s="21" t="s">
        <v>170</v>
      </c>
      <c r="I5" s="1"/>
      <c r="J5" s="1"/>
      <c r="K5" s="1"/>
      <c r="L5" s="1"/>
      <c r="M5" s="1"/>
      <c r="N5" s="1" t="s">
        <v>89</v>
      </c>
      <c r="O5" s="1"/>
      <c r="P5" s="1"/>
    </row>
    <row r="6" spans="1:16" ht="31" customHeight="1">
      <c r="A6" s="16">
        <v>84</v>
      </c>
      <c r="B6" s="50"/>
      <c r="C6" s="20"/>
      <c r="D6" s="21"/>
      <c r="E6" s="20"/>
      <c r="F6" s="20"/>
      <c r="G6" s="21"/>
      <c r="H6" s="21"/>
      <c r="I6" s="1"/>
      <c r="J6" s="1"/>
      <c r="K6" s="1"/>
      <c r="L6" s="1"/>
      <c r="M6" s="1"/>
      <c r="N6" s="1"/>
      <c r="O6" s="1"/>
      <c r="P6" s="1"/>
    </row>
    <row r="7" spans="1:16" ht="31" customHeight="1">
      <c r="A7" s="16">
        <v>85</v>
      </c>
      <c r="B7" s="48">
        <v>22</v>
      </c>
      <c r="C7" s="23" t="s">
        <v>274</v>
      </c>
      <c r="D7" s="24" t="s">
        <v>278</v>
      </c>
      <c r="E7" s="23"/>
      <c r="F7" s="23" t="s">
        <v>279</v>
      </c>
      <c r="G7" s="24" t="s">
        <v>169</v>
      </c>
      <c r="H7" s="24" t="s">
        <v>170</v>
      </c>
      <c r="I7" s="25"/>
      <c r="J7" s="25"/>
      <c r="K7" s="25"/>
      <c r="L7" s="25">
        <v>36</v>
      </c>
      <c r="M7" s="25"/>
      <c r="N7" s="25" t="s">
        <v>94</v>
      </c>
      <c r="O7" s="1"/>
      <c r="P7" s="1"/>
    </row>
    <row r="8" spans="1:16" ht="31" customHeight="1">
      <c r="A8" s="16">
        <v>86</v>
      </c>
      <c r="B8" s="49"/>
      <c r="C8" s="20" t="s">
        <v>280</v>
      </c>
      <c r="D8" s="21" t="s">
        <v>281</v>
      </c>
      <c r="E8" s="20"/>
      <c r="F8" s="20" t="s">
        <v>282</v>
      </c>
      <c r="G8" s="21" t="s">
        <v>174</v>
      </c>
      <c r="H8" s="21" t="s">
        <v>170</v>
      </c>
      <c r="I8" s="1"/>
      <c r="J8" s="1"/>
      <c r="K8" s="1"/>
      <c r="L8" s="1"/>
      <c r="M8" s="1"/>
      <c r="N8" s="1" t="s">
        <v>89</v>
      </c>
      <c r="O8" s="1"/>
      <c r="P8" s="1"/>
    </row>
    <row r="9" spans="1:16" ht="31" customHeight="1">
      <c r="A9" s="16">
        <v>87</v>
      </c>
      <c r="B9" s="49"/>
      <c r="C9" s="20" t="s">
        <v>280</v>
      </c>
      <c r="D9" s="21" t="s">
        <v>283</v>
      </c>
      <c r="E9" s="20"/>
      <c r="F9" s="20" t="s">
        <v>284</v>
      </c>
      <c r="G9" s="21" t="s">
        <v>174</v>
      </c>
      <c r="H9" s="21" t="s">
        <v>170</v>
      </c>
      <c r="I9" s="1"/>
      <c r="J9" s="1"/>
      <c r="K9" s="1"/>
      <c r="L9" s="1"/>
      <c r="M9" s="1"/>
      <c r="N9" s="1" t="s">
        <v>89</v>
      </c>
      <c r="O9" s="1"/>
      <c r="P9" s="1"/>
    </row>
    <row r="10" spans="1:16" ht="31" customHeight="1">
      <c r="A10" s="16">
        <v>88</v>
      </c>
      <c r="B10" s="50"/>
      <c r="C10" s="20" t="s">
        <v>300</v>
      </c>
      <c r="D10" s="21" t="s">
        <v>301</v>
      </c>
      <c r="E10" s="20" t="s">
        <v>178</v>
      </c>
      <c r="F10" s="20" t="s">
        <v>22</v>
      </c>
      <c r="G10" s="21" t="s">
        <v>174</v>
      </c>
      <c r="H10" s="21" t="s">
        <v>170</v>
      </c>
      <c r="I10" s="1"/>
      <c r="J10" s="1"/>
      <c r="K10" s="1"/>
      <c r="L10" s="1"/>
      <c r="M10" s="1"/>
      <c r="N10" s="1" t="s">
        <v>89</v>
      </c>
      <c r="O10" s="1"/>
      <c r="P10" s="22" t="s">
        <v>388</v>
      </c>
    </row>
    <row r="11" spans="1:16" ht="31" customHeight="1">
      <c r="A11" s="16">
        <v>89</v>
      </c>
      <c r="B11" s="48">
        <v>23</v>
      </c>
      <c r="C11" s="20" t="s">
        <v>300</v>
      </c>
      <c r="D11" s="21" t="s">
        <v>302</v>
      </c>
      <c r="E11" s="20"/>
      <c r="F11" s="20" t="s">
        <v>303</v>
      </c>
      <c r="G11" s="21" t="s">
        <v>174</v>
      </c>
      <c r="H11" s="21" t="s">
        <v>170</v>
      </c>
      <c r="I11" s="1"/>
      <c r="J11" s="1"/>
      <c r="K11" s="1"/>
      <c r="L11" s="1"/>
      <c r="M11" s="1"/>
      <c r="N11" s="1" t="s">
        <v>89</v>
      </c>
      <c r="O11" s="1"/>
      <c r="P11" s="1"/>
    </row>
    <row r="12" spans="1:16" ht="31" customHeight="1">
      <c r="A12" s="16">
        <v>90</v>
      </c>
      <c r="B12" s="49"/>
      <c r="C12" s="20" t="s">
        <v>300</v>
      </c>
      <c r="D12" s="21" t="s">
        <v>304</v>
      </c>
      <c r="E12" s="20"/>
      <c r="F12" s="20" t="s">
        <v>305</v>
      </c>
      <c r="G12" s="21" t="s">
        <v>174</v>
      </c>
      <c r="H12" s="21" t="s">
        <v>170</v>
      </c>
      <c r="I12" s="1"/>
      <c r="J12" s="1"/>
      <c r="K12" s="1"/>
      <c r="L12" s="1"/>
      <c r="M12" s="1"/>
      <c r="N12" s="1" t="s">
        <v>89</v>
      </c>
      <c r="O12" s="1"/>
      <c r="P12" s="1"/>
    </row>
    <row r="13" spans="1:16" ht="31" customHeight="1">
      <c r="A13" s="16">
        <v>91</v>
      </c>
      <c r="B13" s="49"/>
      <c r="C13" s="20" t="s">
        <v>306</v>
      </c>
      <c r="D13" s="21" t="s">
        <v>307</v>
      </c>
      <c r="E13" s="20" t="s">
        <v>198</v>
      </c>
      <c r="F13" s="20" t="s">
        <v>41</v>
      </c>
      <c r="G13" s="21" t="s">
        <v>174</v>
      </c>
      <c r="H13" s="21" t="s">
        <v>170</v>
      </c>
      <c r="I13" s="1"/>
      <c r="J13" s="1"/>
      <c r="K13" s="1"/>
      <c r="L13" s="1"/>
      <c r="M13" s="1"/>
      <c r="N13" s="1" t="s">
        <v>89</v>
      </c>
      <c r="O13" s="1"/>
      <c r="P13" s="1"/>
    </row>
    <row r="14" spans="1:16" ht="31" customHeight="1">
      <c r="A14" s="16">
        <v>92</v>
      </c>
      <c r="B14" s="50"/>
      <c r="C14" s="20"/>
      <c r="D14" s="21"/>
      <c r="E14" s="20"/>
      <c r="F14" s="20"/>
      <c r="G14" s="21"/>
      <c r="H14" s="21"/>
      <c r="I14" s="1"/>
      <c r="J14" s="1"/>
      <c r="K14" s="1"/>
      <c r="L14" s="1"/>
      <c r="M14" s="1"/>
      <c r="N14" s="1"/>
      <c r="O14" s="1"/>
      <c r="P14" s="1"/>
    </row>
    <row r="15" spans="1:16" ht="31" customHeight="1">
      <c r="A15" s="16">
        <v>93</v>
      </c>
      <c r="B15" s="48">
        <v>24</v>
      </c>
      <c r="C15" s="23" t="s">
        <v>306</v>
      </c>
      <c r="D15" s="24" t="s">
        <v>308</v>
      </c>
      <c r="E15" s="23"/>
      <c r="F15" s="23" t="s">
        <v>309</v>
      </c>
      <c r="G15" s="24" t="s">
        <v>169</v>
      </c>
      <c r="H15" s="24" t="s">
        <v>170</v>
      </c>
      <c r="I15" s="25"/>
      <c r="J15" s="25"/>
      <c r="K15" s="25"/>
      <c r="L15" s="25">
        <v>36</v>
      </c>
      <c r="M15" s="25"/>
      <c r="N15" s="25" t="s">
        <v>94</v>
      </c>
      <c r="O15" s="1"/>
      <c r="P15" s="1"/>
    </row>
    <row r="16" spans="1:16" ht="31" customHeight="1">
      <c r="A16" s="16">
        <v>94</v>
      </c>
      <c r="B16" s="49"/>
      <c r="C16" s="23" t="s">
        <v>306</v>
      </c>
      <c r="D16" s="24" t="s">
        <v>310</v>
      </c>
      <c r="E16" s="23"/>
      <c r="F16" s="23" t="s">
        <v>17</v>
      </c>
      <c r="G16" s="24" t="s">
        <v>169</v>
      </c>
      <c r="H16" s="24" t="s">
        <v>170</v>
      </c>
      <c r="I16" s="25"/>
      <c r="J16" s="25"/>
      <c r="K16" s="25"/>
      <c r="L16" s="25">
        <v>36</v>
      </c>
      <c r="M16" s="25"/>
      <c r="N16" s="25" t="s">
        <v>94</v>
      </c>
      <c r="O16" s="1"/>
      <c r="P16" s="1"/>
    </row>
    <row r="17" spans="1:16" ht="31" customHeight="1">
      <c r="A17" s="16">
        <v>95</v>
      </c>
      <c r="B17" s="49"/>
      <c r="C17" s="23" t="s">
        <v>306</v>
      </c>
      <c r="D17" s="24" t="s">
        <v>59</v>
      </c>
      <c r="E17" s="23"/>
      <c r="F17" s="23" t="s">
        <v>60</v>
      </c>
      <c r="G17" s="24" t="s">
        <v>169</v>
      </c>
      <c r="H17" s="24" t="s">
        <v>170</v>
      </c>
      <c r="I17" s="25"/>
      <c r="J17" s="25"/>
      <c r="K17" s="25"/>
      <c r="L17" s="25">
        <v>36</v>
      </c>
      <c r="M17" s="25"/>
      <c r="N17" s="25" t="s">
        <v>94</v>
      </c>
      <c r="O17" s="1"/>
      <c r="P17" s="1"/>
    </row>
    <row r="18" spans="1:16" ht="31" customHeight="1">
      <c r="A18" s="16">
        <v>96</v>
      </c>
      <c r="B18" s="50"/>
      <c r="C18" s="23" t="s">
        <v>306</v>
      </c>
      <c r="D18" s="24" t="s">
        <v>58</v>
      </c>
      <c r="E18" s="23"/>
      <c r="F18" s="23" t="s">
        <v>311</v>
      </c>
      <c r="G18" s="24" t="s">
        <v>169</v>
      </c>
      <c r="H18" s="24" t="s">
        <v>170</v>
      </c>
      <c r="I18" s="25"/>
      <c r="J18" s="25"/>
      <c r="K18" s="25"/>
      <c r="L18" s="25">
        <v>36</v>
      </c>
      <c r="M18" s="25"/>
      <c r="N18" s="25" t="s">
        <v>94</v>
      </c>
      <c r="O18" s="1"/>
      <c r="P18" s="1"/>
    </row>
  </sheetData>
  <autoFilter ref="A2:P18" xr:uid="{860B255A-4513-4E43-AEA4-D835803EB8B4}"/>
  <mergeCells count="4">
    <mergeCell ref="B3:B6"/>
    <mergeCell ref="B7:B10"/>
    <mergeCell ref="B11:B14"/>
    <mergeCell ref="B15:B18"/>
  </mergeCells>
  <phoneticPr fontId="1" type="noConversion"/>
  <printOptions horizontalCentered="1" verticalCentered="1"/>
  <pageMargins left="0.7" right="0.7" top="0.75" bottom="0.75" header="0.3" footer="0.3"/>
  <pageSetup paperSize="9" scale="70" orientation="landscape" horizontalDpi="0" verticalDpi="0" copies="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B06E99-BAAA-DB40-9B96-0F86B796F965}">
  <sheetPr>
    <pageSetUpPr fitToPage="1"/>
  </sheetPr>
  <dimension ref="A1:P18"/>
  <sheetViews>
    <sheetView zoomScale="125" workbookViewId="0">
      <pane xSplit="2" ySplit="2" topLeftCell="C3" activePane="bottomRight" state="frozen"/>
      <selection pane="topRight" activeCell="C1" sqref="C1"/>
      <selection pane="bottomLeft" activeCell="A2" sqref="A2"/>
      <selection pane="bottomRight" activeCell="K3" sqref="K3"/>
    </sheetView>
  </sheetViews>
  <sheetFormatPr baseColWidth="10" defaultRowHeight="17"/>
  <cols>
    <col min="1" max="2" width="5.83203125" style="18" customWidth="1"/>
    <col min="3" max="3" width="18.33203125" style="18" bestFit="1" customWidth="1"/>
    <col min="4" max="4" width="11.6640625" style="18" customWidth="1"/>
    <col min="5" max="5" width="7.5" style="18" customWidth="1"/>
    <col min="6" max="6" width="15.6640625" style="18" bestFit="1" customWidth="1"/>
    <col min="7" max="7" width="5.6640625" style="18" customWidth="1"/>
    <col min="8" max="8" width="8.6640625" style="18" bestFit="1" customWidth="1"/>
    <col min="9" max="11" width="10.83203125" style="2"/>
    <col min="12" max="12" width="4.83203125" style="2" customWidth="1"/>
    <col min="13" max="13" width="10.83203125" style="2"/>
    <col min="14" max="14" width="9" style="2" customWidth="1"/>
    <col min="15" max="15" width="17" style="2" customWidth="1"/>
    <col min="16" max="16" width="11.6640625" style="2" bestFit="1" customWidth="1"/>
    <col min="17" max="16384" width="10.83203125" style="2"/>
  </cols>
  <sheetData>
    <row r="1" spans="1:16" ht="57" customHeight="1">
      <c r="A1" s="14"/>
      <c r="B1" s="15"/>
      <c r="C1" s="15"/>
      <c r="D1" s="15"/>
      <c r="E1" s="15"/>
      <c r="F1" s="15"/>
      <c r="G1" s="15"/>
      <c r="H1" s="15"/>
      <c r="I1" s="10"/>
      <c r="J1" s="10"/>
      <c r="K1" s="10"/>
      <c r="L1" s="10"/>
      <c r="M1" s="10"/>
      <c r="N1" s="10"/>
      <c r="O1" s="10"/>
      <c r="P1" s="11"/>
    </row>
    <row r="2" spans="1:16" ht="58" customHeight="1">
      <c r="A2" s="19" t="s">
        <v>391</v>
      </c>
      <c r="B2" s="16" t="s">
        <v>0</v>
      </c>
      <c r="C2" s="16" t="s">
        <v>163</v>
      </c>
      <c r="D2" s="16" t="s">
        <v>1</v>
      </c>
      <c r="E2" s="17" t="s">
        <v>162</v>
      </c>
      <c r="F2" s="16" t="s">
        <v>88</v>
      </c>
      <c r="G2" s="17" t="s">
        <v>164</v>
      </c>
      <c r="H2" s="17" t="s">
        <v>165</v>
      </c>
      <c r="I2" s="1" t="s">
        <v>2</v>
      </c>
      <c r="J2" s="1" t="s">
        <v>3</v>
      </c>
      <c r="K2" s="1" t="s">
        <v>4</v>
      </c>
      <c r="L2" s="1" t="s">
        <v>5</v>
      </c>
      <c r="M2" s="1" t="s">
        <v>6</v>
      </c>
      <c r="N2" s="1" t="s">
        <v>90</v>
      </c>
      <c r="O2" s="5" t="s">
        <v>384</v>
      </c>
      <c r="P2" s="1" t="s">
        <v>7</v>
      </c>
    </row>
    <row r="3" spans="1:16" ht="31" customHeight="1">
      <c r="A3" s="16">
        <v>97</v>
      </c>
      <c r="B3" s="48">
        <v>25</v>
      </c>
      <c r="C3" s="28" t="s">
        <v>306</v>
      </c>
      <c r="D3" s="16" t="s">
        <v>312</v>
      </c>
      <c r="E3" s="28"/>
      <c r="F3" s="28" t="s">
        <v>313</v>
      </c>
      <c r="G3" s="16" t="s">
        <v>174</v>
      </c>
      <c r="H3" s="16" t="s">
        <v>170</v>
      </c>
      <c r="I3" s="1"/>
      <c r="J3" s="1"/>
      <c r="K3" s="1"/>
      <c r="L3" s="1"/>
      <c r="M3" s="1"/>
      <c r="N3" s="1" t="s">
        <v>89</v>
      </c>
      <c r="O3" s="1"/>
      <c r="P3" s="1"/>
    </row>
    <row r="4" spans="1:16" ht="31" customHeight="1">
      <c r="A4" s="16">
        <v>98</v>
      </c>
      <c r="B4" s="49"/>
      <c r="C4" s="28" t="s">
        <v>314</v>
      </c>
      <c r="D4" s="16" t="s">
        <v>61</v>
      </c>
      <c r="E4" s="28" t="s">
        <v>193</v>
      </c>
      <c r="F4" s="28" t="s">
        <v>315</v>
      </c>
      <c r="G4" s="16" t="s">
        <v>174</v>
      </c>
      <c r="H4" s="16" t="s">
        <v>170</v>
      </c>
      <c r="I4" s="1"/>
      <c r="J4" s="1"/>
      <c r="K4" s="1"/>
      <c r="L4" s="1"/>
      <c r="M4" s="1"/>
      <c r="N4" s="1" t="s">
        <v>89</v>
      </c>
      <c r="O4" s="1"/>
      <c r="P4" s="1"/>
    </row>
    <row r="5" spans="1:16" ht="31" customHeight="1">
      <c r="A5" s="16">
        <v>99</v>
      </c>
      <c r="B5" s="49"/>
      <c r="C5" s="31" t="s">
        <v>314</v>
      </c>
      <c r="D5" s="32" t="s">
        <v>316</v>
      </c>
      <c r="E5" s="31"/>
      <c r="F5" s="31" t="s">
        <v>317</v>
      </c>
      <c r="G5" s="32" t="s">
        <v>169</v>
      </c>
      <c r="H5" s="32" t="s">
        <v>170</v>
      </c>
      <c r="I5" s="25"/>
      <c r="J5" s="25"/>
      <c r="K5" s="25"/>
      <c r="L5" s="25">
        <v>36</v>
      </c>
      <c r="M5" s="25"/>
      <c r="N5" s="25" t="s">
        <v>94</v>
      </c>
      <c r="O5" s="1"/>
      <c r="P5" s="1"/>
    </row>
    <row r="6" spans="1:16" ht="31" customHeight="1">
      <c r="A6" s="16">
        <v>100</v>
      </c>
      <c r="B6" s="50"/>
      <c r="C6" s="28"/>
      <c r="D6" s="16"/>
      <c r="E6" s="28"/>
      <c r="F6" s="28"/>
      <c r="G6" s="16"/>
      <c r="H6" s="16"/>
      <c r="I6" s="1"/>
      <c r="J6" s="1"/>
      <c r="K6" s="1"/>
      <c r="L6" s="1"/>
      <c r="M6" s="1"/>
      <c r="N6" s="1"/>
      <c r="O6" s="1"/>
      <c r="P6" s="1"/>
    </row>
    <row r="7" spans="1:16" ht="31" customHeight="1">
      <c r="A7" s="16">
        <v>101</v>
      </c>
      <c r="B7" s="48">
        <v>26</v>
      </c>
      <c r="C7" s="28" t="s">
        <v>314</v>
      </c>
      <c r="D7" s="16" t="s">
        <v>318</v>
      </c>
      <c r="E7" s="28" t="s">
        <v>178</v>
      </c>
      <c r="F7" s="28" t="s">
        <v>319</v>
      </c>
      <c r="G7" s="16" t="s">
        <v>174</v>
      </c>
      <c r="H7" s="16" t="s">
        <v>170</v>
      </c>
      <c r="I7" s="1"/>
      <c r="J7" s="1"/>
      <c r="K7" s="1"/>
      <c r="L7" s="1"/>
      <c r="M7" s="1"/>
      <c r="N7" s="1" t="s">
        <v>89</v>
      </c>
      <c r="O7" s="1"/>
      <c r="P7" s="1"/>
    </row>
    <row r="8" spans="1:16" ht="31" customHeight="1">
      <c r="A8" s="16">
        <v>102</v>
      </c>
      <c r="B8" s="49"/>
      <c r="C8" s="28" t="s">
        <v>314</v>
      </c>
      <c r="D8" s="16" t="s">
        <v>62</v>
      </c>
      <c r="E8" s="28"/>
      <c r="F8" s="28" t="s">
        <v>63</v>
      </c>
      <c r="G8" s="16" t="s">
        <v>174</v>
      </c>
      <c r="H8" s="16" t="s">
        <v>170</v>
      </c>
      <c r="I8" s="1"/>
      <c r="J8" s="1"/>
      <c r="K8" s="1"/>
      <c r="L8" s="1"/>
      <c r="M8" s="1"/>
      <c r="N8" s="1" t="s">
        <v>89</v>
      </c>
      <c r="O8" s="1"/>
      <c r="P8" s="1"/>
    </row>
    <row r="9" spans="1:16" ht="31" customHeight="1">
      <c r="A9" s="16">
        <v>103</v>
      </c>
      <c r="B9" s="49"/>
      <c r="C9" s="28" t="s">
        <v>314</v>
      </c>
      <c r="D9" s="16" t="s">
        <v>320</v>
      </c>
      <c r="E9" s="28" t="s">
        <v>183</v>
      </c>
      <c r="F9" s="28" t="s">
        <v>321</v>
      </c>
      <c r="G9" s="16" t="s">
        <v>174</v>
      </c>
      <c r="H9" s="16" t="s">
        <v>170</v>
      </c>
      <c r="I9" s="1"/>
      <c r="J9" s="1"/>
      <c r="K9" s="1"/>
      <c r="L9" s="1"/>
      <c r="M9" s="1"/>
      <c r="N9" s="1" t="s">
        <v>89</v>
      </c>
      <c r="O9" s="1"/>
      <c r="P9" s="1"/>
    </row>
    <row r="10" spans="1:16" ht="31" customHeight="1">
      <c r="A10" s="16">
        <v>104</v>
      </c>
      <c r="B10" s="50"/>
      <c r="C10" s="29" t="s">
        <v>314</v>
      </c>
      <c r="D10" s="30" t="s">
        <v>322</v>
      </c>
      <c r="E10" s="29"/>
      <c r="F10" s="29" t="s">
        <v>323</v>
      </c>
      <c r="G10" s="30" t="s">
        <v>169</v>
      </c>
      <c r="H10" s="30" t="s">
        <v>175</v>
      </c>
      <c r="I10" s="26"/>
      <c r="J10" s="26"/>
      <c r="K10" s="26"/>
      <c r="L10" s="26">
        <v>36</v>
      </c>
      <c r="M10" s="26"/>
      <c r="N10" s="26" t="s">
        <v>383</v>
      </c>
      <c r="O10" s="1"/>
      <c r="P10" s="1"/>
    </row>
    <row r="11" spans="1:16" ht="31" customHeight="1">
      <c r="A11" s="16">
        <v>105</v>
      </c>
      <c r="B11" s="48">
        <v>27</v>
      </c>
      <c r="C11" s="29" t="s">
        <v>314</v>
      </c>
      <c r="D11" s="30" t="s">
        <v>324</v>
      </c>
      <c r="E11" s="29"/>
      <c r="F11" s="29" t="s">
        <v>34</v>
      </c>
      <c r="G11" s="30" t="s">
        <v>174</v>
      </c>
      <c r="H11" s="30" t="s">
        <v>228</v>
      </c>
      <c r="I11" s="26"/>
      <c r="J11" s="26"/>
      <c r="K11" s="26"/>
      <c r="L11" s="26"/>
      <c r="M11" s="26"/>
      <c r="N11" s="26" t="s">
        <v>383</v>
      </c>
      <c r="O11" s="1"/>
      <c r="P11" s="1"/>
    </row>
    <row r="12" spans="1:16" ht="31" customHeight="1">
      <c r="A12" s="16">
        <v>106</v>
      </c>
      <c r="B12" s="49"/>
      <c r="C12" s="28" t="s">
        <v>232</v>
      </c>
      <c r="D12" s="16" t="s">
        <v>233</v>
      </c>
      <c r="E12" s="28" t="s">
        <v>198</v>
      </c>
      <c r="F12" s="28" t="s">
        <v>234</v>
      </c>
      <c r="G12" s="16" t="s">
        <v>174</v>
      </c>
      <c r="H12" s="16" t="s">
        <v>170</v>
      </c>
      <c r="I12" s="1"/>
      <c r="J12" s="1"/>
      <c r="K12" s="1"/>
      <c r="L12" s="1"/>
      <c r="M12" s="1"/>
      <c r="N12" s="1" t="s">
        <v>89</v>
      </c>
      <c r="O12" s="1"/>
      <c r="P12" s="22" t="s">
        <v>389</v>
      </c>
    </row>
    <row r="13" spans="1:16" ht="31" customHeight="1">
      <c r="A13" s="16">
        <v>107</v>
      </c>
      <c r="B13" s="49"/>
      <c r="C13" s="29" t="s">
        <v>232</v>
      </c>
      <c r="D13" s="30" t="s">
        <v>23</v>
      </c>
      <c r="E13" s="29"/>
      <c r="F13" s="29"/>
      <c r="G13" s="30" t="s">
        <v>169</v>
      </c>
      <c r="H13" s="30" t="s">
        <v>228</v>
      </c>
      <c r="I13" s="26"/>
      <c r="J13" s="26"/>
      <c r="K13" s="26"/>
      <c r="L13" s="26">
        <v>36</v>
      </c>
      <c r="M13" s="26"/>
      <c r="N13" s="26" t="s">
        <v>383</v>
      </c>
      <c r="O13" s="1"/>
      <c r="P13" s="1"/>
    </row>
    <row r="14" spans="1:16" ht="31" customHeight="1">
      <c r="A14" s="16">
        <v>108</v>
      </c>
      <c r="B14" s="50"/>
      <c r="C14" s="28"/>
      <c r="D14" s="16"/>
      <c r="E14" s="28"/>
      <c r="F14" s="28"/>
      <c r="G14" s="16"/>
      <c r="H14" s="16"/>
      <c r="I14" s="1"/>
      <c r="J14" s="1"/>
      <c r="K14" s="1"/>
      <c r="L14" s="1"/>
      <c r="M14" s="1"/>
      <c r="N14" s="1"/>
      <c r="O14" s="1"/>
      <c r="P14" s="1"/>
    </row>
    <row r="15" spans="1:16" ht="31" customHeight="1">
      <c r="A15" s="16">
        <v>109</v>
      </c>
      <c r="B15" s="48">
        <v>28</v>
      </c>
      <c r="C15" s="29" t="s">
        <v>232</v>
      </c>
      <c r="D15" s="30" t="s">
        <v>235</v>
      </c>
      <c r="E15" s="29"/>
      <c r="F15" s="29"/>
      <c r="G15" s="30" t="s">
        <v>169</v>
      </c>
      <c r="H15" s="30" t="s">
        <v>228</v>
      </c>
      <c r="I15" s="26"/>
      <c r="J15" s="26"/>
      <c r="K15" s="26"/>
      <c r="L15" s="26">
        <v>36</v>
      </c>
      <c r="M15" s="26"/>
      <c r="N15" s="26" t="s">
        <v>383</v>
      </c>
      <c r="O15" s="1"/>
      <c r="P15" s="1"/>
    </row>
    <row r="16" spans="1:16" ht="31" customHeight="1">
      <c r="A16" s="16">
        <v>110</v>
      </c>
      <c r="B16" s="49"/>
      <c r="C16" s="28" t="s">
        <v>232</v>
      </c>
      <c r="D16" s="16" t="s">
        <v>25</v>
      </c>
      <c r="E16" s="28" t="s">
        <v>198</v>
      </c>
      <c r="F16" s="28" t="s">
        <v>236</v>
      </c>
      <c r="G16" s="16" t="s">
        <v>174</v>
      </c>
      <c r="H16" s="16" t="s">
        <v>170</v>
      </c>
      <c r="I16" s="1"/>
      <c r="J16" s="1"/>
      <c r="K16" s="1"/>
      <c r="L16" s="1"/>
      <c r="M16" s="1"/>
      <c r="N16" s="1" t="s">
        <v>89</v>
      </c>
      <c r="O16" s="1"/>
      <c r="P16" s="1"/>
    </row>
    <row r="17" spans="1:16" ht="31" customHeight="1">
      <c r="A17" s="16">
        <v>111</v>
      </c>
      <c r="B17" s="49"/>
      <c r="C17" s="29" t="s">
        <v>232</v>
      </c>
      <c r="D17" s="30" t="s">
        <v>26</v>
      </c>
      <c r="E17" s="29"/>
      <c r="F17" s="29"/>
      <c r="G17" s="30" t="s">
        <v>169</v>
      </c>
      <c r="H17" s="30" t="s">
        <v>175</v>
      </c>
      <c r="I17" s="26"/>
      <c r="J17" s="26"/>
      <c r="K17" s="26"/>
      <c r="L17" s="26">
        <v>36</v>
      </c>
      <c r="M17" s="26"/>
      <c r="N17" s="26" t="s">
        <v>383</v>
      </c>
      <c r="O17" s="1"/>
      <c r="P17" s="1"/>
    </row>
    <row r="18" spans="1:16" ht="31" customHeight="1">
      <c r="A18" s="16">
        <v>112</v>
      </c>
      <c r="B18" s="50"/>
      <c r="C18" s="29" t="s">
        <v>232</v>
      </c>
      <c r="D18" s="30" t="s">
        <v>237</v>
      </c>
      <c r="E18" s="29"/>
      <c r="F18" s="29"/>
      <c r="G18" s="30" t="s">
        <v>169</v>
      </c>
      <c r="H18" s="30" t="s">
        <v>175</v>
      </c>
      <c r="I18" s="26"/>
      <c r="J18" s="26"/>
      <c r="K18" s="26"/>
      <c r="L18" s="26">
        <v>36</v>
      </c>
      <c r="M18" s="26"/>
      <c r="N18" s="26" t="s">
        <v>383</v>
      </c>
      <c r="O18" s="1"/>
      <c r="P18" s="1"/>
    </row>
  </sheetData>
  <autoFilter ref="A2:P18" xr:uid="{860B255A-4513-4E43-AEA4-D835803EB8B4}"/>
  <mergeCells count="4">
    <mergeCell ref="B3:B6"/>
    <mergeCell ref="B7:B10"/>
    <mergeCell ref="B11:B14"/>
    <mergeCell ref="B15:B18"/>
  </mergeCells>
  <phoneticPr fontId="1" type="noConversion"/>
  <printOptions horizontalCentered="1" verticalCentered="1"/>
  <pageMargins left="0.7" right="0.7" top="0.75" bottom="0.75" header="0.3" footer="0.3"/>
  <pageSetup paperSize="9" scale="70" orientation="landscape" horizontalDpi="0" verticalDpi="0" copies="2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96B9AE-6A03-DC40-82F7-369583B63308}">
  <sheetPr>
    <pageSetUpPr fitToPage="1"/>
  </sheetPr>
  <dimension ref="A1:P18"/>
  <sheetViews>
    <sheetView zoomScale="125" workbookViewId="0">
      <pane xSplit="2" ySplit="2" topLeftCell="C3" activePane="bottomRight" state="frozen"/>
      <selection pane="topRight" activeCell="C1" sqref="C1"/>
      <selection pane="bottomLeft" activeCell="A2" sqref="A2"/>
      <selection pane="bottomRight" activeCell="P8" sqref="P8"/>
    </sheetView>
  </sheetViews>
  <sheetFormatPr baseColWidth="10" defaultRowHeight="17"/>
  <cols>
    <col min="1" max="2" width="5.83203125" style="18" customWidth="1"/>
    <col min="3" max="3" width="18.33203125" style="18" bestFit="1" customWidth="1"/>
    <col min="4" max="4" width="11.6640625" style="18" customWidth="1"/>
    <col min="5" max="5" width="7.5" style="18" customWidth="1"/>
    <col min="6" max="6" width="15.6640625" style="18" bestFit="1" customWidth="1"/>
    <col min="7" max="7" width="5.6640625" style="18" customWidth="1"/>
    <col min="8" max="8" width="8.6640625" style="18" bestFit="1" customWidth="1"/>
    <col min="9" max="11" width="10.83203125" style="2"/>
    <col min="12" max="12" width="4.83203125" style="2" customWidth="1"/>
    <col min="13" max="13" width="10.83203125" style="2"/>
    <col min="14" max="14" width="9" style="2" customWidth="1"/>
    <col min="15" max="15" width="17" style="2" customWidth="1"/>
    <col min="16" max="16" width="11.6640625" style="2" bestFit="1" customWidth="1"/>
    <col min="17" max="16384" width="10.83203125" style="2"/>
  </cols>
  <sheetData>
    <row r="1" spans="1:16" ht="57" customHeight="1">
      <c r="A1" s="14"/>
      <c r="B1" s="15"/>
      <c r="C1" s="15"/>
      <c r="D1" s="15"/>
      <c r="E1" s="15"/>
      <c r="F1" s="15"/>
      <c r="G1" s="15"/>
      <c r="H1" s="15"/>
      <c r="I1" s="10"/>
      <c r="J1" s="10"/>
      <c r="K1" s="10"/>
      <c r="L1" s="10"/>
      <c r="M1" s="10"/>
      <c r="N1" s="10"/>
      <c r="O1" s="10"/>
      <c r="P1" s="11"/>
    </row>
    <row r="2" spans="1:16" ht="58" customHeight="1">
      <c r="A2" s="19" t="s">
        <v>391</v>
      </c>
      <c r="B2" s="16" t="s">
        <v>0</v>
      </c>
      <c r="C2" s="16" t="s">
        <v>163</v>
      </c>
      <c r="D2" s="16" t="s">
        <v>1</v>
      </c>
      <c r="E2" s="17" t="s">
        <v>162</v>
      </c>
      <c r="F2" s="16" t="s">
        <v>88</v>
      </c>
      <c r="G2" s="17" t="s">
        <v>164</v>
      </c>
      <c r="H2" s="17" t="s">
        <v>165</v>
      </c>
      <c r="I2" s="1" t="s">
        <v>2</v>
      </c>
      <c r="J2" s="1" t="s">
        <v>3</v>
      </c>
      <c r="K2" s="1" t="s">
        <v>4</v>
      </c>
      <c r="L2" s="1" t="s">
        <v>5</v>
      </c>
      <c r="M2" s="1" t="s">
        <v>6</v>
      </c>
      <c r="N2" s="1" t="s">
        <v>90</v>
      </c>
      <c r="O2" s="5" t="s">
        <v>384</v>
      </c>
      <c r="P2" s="1" t="s">
        <v>7</v>
      </c>
    </row>
    <row r="3" spans="1:16" ht="30" customHeight="1">
      <c r="A3" s="16">
        <v>113</v>
      </c>
      <c r="B3" s="48">
        <v>29</v>
      </c>
      <c r="C3" s="29" t="s">
        <v>232</v>
      </c>
      <c r="D3" s="30" t="s">
        <v>27</v>
      </c>
      <c r="E3" s="29"/>
      <c r="F3" s="29"/>
      <c r="G3" s="30" t="s">
        <v>169</v>
      </c>
      <c r="H3" s="30" t="s">
        <v>228</v>
      </c>
      <c r="I3" s="26"/>
      <c r="J3" s="26"/>
      <c r="K3" s="26"/>
      <c r="L3" s="26">
        <v>36</v>
      </c>
      <c r="M3" s="26"/>
      <c r="N3" s="26" t="s">
        <v>383</v>
      </c>
      <c r="O3" s="1"/>
      <c r="P3" s="1"/>
    </row>
    <row r="4" spans="1:16" ht="30" customHeight="1">
      <c r="A4" s="16">
        <v>114</v>
      </c>
      <c r="B4" s="49"/>
      <c r="C4" s="29" t="s">
        <v>232</v>
      </c>
      <c r="D4" s="30" t="s">
        <v>24</v>
      </c>
      <c r="E4" s="29"/>
      <c r="F4" s="29"/>
      <c r="G4" s="30" t="s">
        <v>169</v>
      </c>
      <c r="H4" s="30" t="s">
        <v>228</v>
      </c>
      <c r="I4" s="26"/>
      <c r="J4" s="26"/>
      <c r="K4" s="26"/>
      <c r="L4" s="26">
        <v>36</v>
      </c>
      <c r="M4" s="26"/>
      <c r="N4" s="26" t="s">
        <v>383</v>
      </c>
      <c r="O4" s="1"/>
      <c r="P4" s="1"/>
    </row>
    <row r="5" spans="1:16" ht="30" customHeight="1">
      <c r="A5" s="16">
        <v>115</v>
      </c>
      <c r="B5" s="49"/>
      <c r="C5" s="29" t="s">
        <v>232</v>
      </c>
      <c r="D5" s="30" t="s">
        <v>238</v>
      </c>
      <c r="E5" s="29"/>
      <c r="F5" s="29"/>
      <c r="G5" s="30" t="s">
        <v>174</v>
      </c>
      <c r="H5" s="30" t="s">
        <v>228</v>
      </c>
      <c r="I5" s="26"/>
      <c r="J5" s="26"/>
      <c r="K5" s="26"/>
      <c r="L5" s="26"/>
      <c r="M5" s="26"/>
      <c r="N5" s="26" t="s">
        <v>383</v>
      </c>
      <c r="O5" s="1"/>
      <c r="P5" s="1"/>
    </row>
    <row r="6" spans="1:16" ht="30" customHeight="1">
      <c r="A6" s="16">
        <v>116</v>
      </c>
      <c r="B6" s="50"/>
      <c r="C6" s="28"/>
      <c r="D6" s="16"/>
      <c r="E6" s="28"/>
      <c r="F6" s="28"/>
      <c r="G6" s="16"/>
      <c r="H6" s="16"/>
      <c r="I6" s="1"/>
      <c r="J6" s="1"/>
      <c r="K6" s="1"/>
      <c r="L6" s="1"/>
      <c r="M6" s="1"/>
      <c r="N6" s="1"/>
      <c r="O6" s="1"/>
      <c r="P6" s="1"/>
    </row>
    <row r="7" spans="1:16" ht="30" customHeight="1">
      <c r="A7" s="16">
        <v>117</v>
      </c>
      <c r="B7" s="48">
        <v>30</v>
      </c>
      <c r="C7" s="28" t="s">
        <v>239</v>
      </c>
      <c r="D7" s="16" t="s">
        <v>240</v>
      </c>
      <c r="E7" s="28" t="s">
        <v>198</v>
      </c>
      <c r="F7" s="28" t="s">
        <v>54</v>
      </c>
      <c r="G7" s="16" t="s">
        <v>174</v>
      </c>
      <c r="H7" s="16" t="s">
        <v>170</v>
      </c>
      <c r="I7" s="1"/>
      <c r="J7" s="1"/>
      <c r="K7" s="1"/>
      <c r="L7" s="1"/>
      <c r="M7" s="1"/>
      <c r="N7" s="1" t="s">
        <v>89</v>
      </c>
      <c r="O7" s="1"/>
      <c r="P7" s="1"/>
    </row>
    <row r="8" spans="1:16" ht="30" customHeight="1">
      <c r="A8" s="16">
        <v>118</v>
      </c>
      <c r="B8" s="49"/>
      <c r="C8" s="31" t="s">
        <v>241</v>
      </c>
      <c r="D8" s="32" t="s">
        <v>29</v>
      </c>
      <c r="E8" s="31" t="s">
        <v>178</v>
      </c>
      <c r="F8" s="31" t="s">
        <v>242</v>
      </c>
      <c r="G8" s="32" t="s">
        <v>169</v>
      </c>
      <c r="H8" s="32" t="s">
        <v>170</v>
      </c>
      <c r="I8" s="25"/>
      <c r="J8" s="25"/>
      <c r="K8" s="25"/>
      <c r="L8" s="25">
        <v>36</v>
      </c>
      <c r="M8" s="25"/>
      <c r="N8" s="25" t="s">
        <v>94</v>
      </c>
      <c r="O8" s="1"/>
      <c r="P8" s="1"/>
    </row>
    <row r="9" spans="1:16" ht="30" customHeight="1">
      <c r="A9" s="16">
        <v>119</v>
      </c>
      <c r="B9" s="49"/>
      <c r="C9" s="28" t="s">
        <v>241</v>
      </c>
      <c r="D9" s="16" t="s">
        <v>243</v>
      </c>
      <c r="E9" s="28" t="s">
        <v>183</v>
      </c>
      <c r="F9" s="28" t="s">
        <v>244</v>
      </c>
      <c r="G9" s="16" t="s">
        <v>174</v>
      </c>
      <c r="H9" s="16" t="s">
        <v>170</v>
      </c>
      <c r="I9" s="1"/>
      <c r="J9" s="1"/>
      <c r="K9" s="1"/>
      <c r="L9" s="1"/>
      <c r="M9" s="1"/>
      <c r="N9" s="1" t="s">
        <v>89</v>
      </c>
      <c r="O9" s="1"/>
      <c r="P9" s="1"/>
    </row>
    <row r="10" spans="1:16" ht="30" customHeight="1">
      <c r="A10" s="16">
        <v>120</v>
      </c>
      <c r="B10" s="50"/>
      <c r="C10" s="28" t="s">
        <v>241</v>
      </c>
      <c r="D10" s="16" t="s">
        <v>30</v>
      </c>
      <c r="E10" s="28"/>
      <c r="F10" s="28" t="s">
        <v>31</v>
      </c>
      <c r="G10" s="16" t="s">
        <v>174</v>
      </c>
      <c r="H10" s="16" t="s">
        <v>170</v>
      </c>
      <c r="I10" s="1"/>
      <c r="J10" s="1"/>
      <c r="K10" s="1"/>
      <c r="L10" s="1"/>
      <c r="M10" s="1"/>
      <c r="N10" s="1" t="s">
        <v>89</v>
      </c>
      <c r="O10" s="1"/>
      <c r="P10" s="3"/>
    </row>
    <row r="11" spans="1:16" ht="30" customHeight="1">
      <c r="A11" s="16">
        <v>121</v>
      </c>
      <c r="B11" s="48">
        <v>31</v>
      </c>
      <c r="C11" s="28" t="s">
        <v>241</v>
      </c>
      <c r="D11" s="16" t="s">
        <v>245</v>
      </c>
      <c r="E11" s="28"/>
      <c r="F11" s="28" t="s">
        <v>246</v>
      </c>
      <c r="G11" s="16" t="s">
        <v>174</v>
      </c>
      <c r="H11" s="16" t="s">
        <v>170</v>
      </c>
      <c r="I11" s="1"/>
      <c r="J11" s="1"/>
      <c r="K11" s="1"/>
      <c r="L11" s="1"/>
      <c r="M11" s="1"/>
      <c r="N11" s="1" t="s">
        <v>89</v>
      </c>
      <c r="O11" s="1"/>
      <c r="P11" s="1"/>
    </row>
    <row r="12" spans="1:16" ht="30" customHeight="1">
      <c r="A12" s="16">
        <v>122</v>
      </c>
      <c r="B12" s="49"/>
      <c r="C12" s="31" t="s">
        <v>241</v>
      </c>
      <c r="D12" s="32" t="s">
        <v>247</v>
      </c>
      <c r="E12" s="31"/>
      <c r="F12" s="31" t="s">
        <v>248</v>
      </c>
      <c r="G12" s="32" t="s">
        <v>169</v>
      </c>
      <c r="H12" s="32" t="s">
        <v>170</v>
      </c>
      <c r="I12" s="25"/>
      <c r="J12" s="25"/>
      <c r="K12" s="25"/>
      <c r="L12" s="25">
        <v>36</v>
      </c>
      <c r="M12" s="25"/>
      <c r="N12" s="25" t="s">
        <v>94</v>
      </c>
      <c r="O12" s="1"/>
      <c r="P12" s="1"/>
    </row>
    <row r="13" spans="1:16" ht="30" customHeight="1">
      <c r="A13" s="16">
        <v>123</v>
      </c>
      <c r="B13" s="49"/>
      <c r="C13" s="28" t="s">
        <v>241</v>
      </c>
      <c r="D13" s="16" t="s">
        <v>33</v>
      </c>
      <c r="E13" s="28" t="s">
        <v>171</v>
      </c>
      <c r="F13" s="28" t="s">
        <v>34</v>
      </c>
      <c r="G13" s="16" t="s">
        <v>174</v>
      </c>
      <c r="H13" s="16" t="s">
        <v>170</v>
      </c>
      <c r="I13" s="1"/>
      <c r="J13" s="1"/>
      <c r="K13" s="1"/>
      <c r="L13" s="1"/>
      <c r="M13" s="1"/>
      <c r="N13" s="1" t="s">
        <v>89</v>
      </c>
      <c r="O13" s="1"/>
      <c r="P13" s="1"/>
    </row>
    <row r="14" spans="1:16" ht="30" customHeight="1">
      <c r="A14" s="16">
        <v>124</v>
      </c>
      <c r="B14" s="50"/>
      <c r="C14" s="28"/>
      <c r="D14" s="16"/>
      <c r="E14" s="28"/>
      <c r="F14" s="28"/>
      <c r="G14" s="16"/>
      <c r="H14" s="16"/>
      <c r="I14" s="1"/>
      <c r="J14" s="1"/>
      <c r="K14" s="1"/>
      <c r="L14" s="1"/>
      <c r="M14" s="1"/>
      <c r="N14" s="1"/>
      <c r="O14" s="1"/>
      <c r="P14" s="1"/>
    </row>
    <row r="15" spans="1:16" ht="30" customHeight="1">
      <c r="A15" s="16">
        <v>125</v>
      </c>
      <c r="B15" s="48">
        <v>32</v>
      </c>
      <c r="C15" s="28" t="s">
        <v>241</v>
      </c>
      <c r="D15" s="16" t="s">
        <v>249</v>
      </c>
      <c r="E15" s="28" t="s">
        <v>198</v>
      </c>
      <c r="F15" s="28" t="s">
        <v>250</v>
      </c>
      <c r="G15" s="16" t="s">
        <v>174</v>
      </c>
      <c r="H15" s="16" t="s">
        <v>170</v>
      </c>
      <c r="I15" s="1"/>
      <c r="J15" s="1"/>
      <c r="K15" s="1"/>
      <c r="L15" s="1"/>
      <c r="M15" s="1"/>
      <c r="N15" s="1" t="s">
        <v>89</v>
      </c>
      <c r="O15" s="1"/>
      <c r="P15" s="1"/>
    </row>
    <row r="16" spans="1:16" ht="30" customHeight="1">
      <c r="A16" s="16">
        <v>126</v>
      </c>
      <c r="B16" s="49"/>
      <c r="C16" s="28" t="s">
        <v>241</v>
      </c>
      <c r="D16" s="16" t="s">
        <v>28</v>
      </c>
      <c r="E16" s="28" t="s">
        <v>167</v>
      </c>
      <c r="F16" s="28" t="s">
        <v>251</v>
      </c>
      <c r="G16" s="16" t="s">
        <v>174</v>
      </c>
      <c r="H16" s="16" t="s">
        <v>170</v>
      </c>
      <c r="I16" s="1"/>
      <c r="J16" s="1"/>
      <c r="K16" s="1"/>
      <c r="L16" s="1"/>
      <c r="M16" s="1"/>
      <c r="N16" s="1" t="s">
        <v>89</v>
      </c>
      <c r="O16" s="1"/>
      <c r="P16" s="1"/>
    </row>
    <row r="17" spans="1:16" ht="30" customHeight="1">
      <c r="A17" s="16">
        <v>127</v>
      </c>
      <c r="B17" s="49"/>
      <c r="C17" s="31" t="s">
        <v>241</v>
      </c>
      <c r="D17" s="32" t="s">
        <v>39</v>
      </c>
      <c r="E17" s="31"/>
      <c r="F17" s="31" t="s">
        <v>40</v>
      </c>
      <c r="G17" s="32" t="s">
        <v>169</v>
      </c>
      <c r="H17" s="32" t="s">
        <v>170</v>
      </c>
      <c r="I17" s="25"/>
      <c r="J17" s="25"/>
      <c r="K17" s="25"/>
      <c r="L17" s="25">
        <v>36</v>
      </c>
      <c r="M17" s="25"/>
      <c r="N17" s="25" t="s">
        <v>94</v>
      </c>
      <c r="O17" s="1"/>
      <c r="P17" s="1"/>
    </row>
    <row r="18" spans="1:16" ht="30" customHeight="1">
      <c r="A18" s="16">
        <v>128</v>
      </c>
      <c r="B18" s="50"/>
      <c r="C18" s="29" t="s">
        <v>241</v>
      </c>
      <c r="D18" s="30" t="s">
        <v>252</v>
      </c>
      <c r="E18" s="29"/>
      <c r="F18" s="29" t="s">
        <v>253</v>
      </c>
      <c r="G18" s="30" t="s">
        <v>174</v>
      </c>
      <c r="H18" s="30" t="s">
        <v>228</v>
      </c>
      <c r="I18" s="26"/>
      <c r="J18" s="26"/>
      <c r="K18" s="26"/>
      <c r="L18" s="26"/>
      <c r="M18" s="26"/>
      <c r="N18" s="26" t="s">
        <v>383</v>
      </c>
      <c r="O18" s="1"/>
      <c r="P18" s="3"/>
    </row>
  </sheetData>
  <autoFilter ref="A2:P18" xr:uid="{860B255A-4513-4E43-AEA4-D835803EB8B4}"/>
  <mergeCells count="4">
    <mergeCell ref="B11:B14"/>
    <mergeCell ref="B15:B18"/>
    <mergeCell ref="B3:B6"/>
    <mergeCell ref="B7:B10"/>
  </mergeCells>
  <phoneticPr fontId="1" type="noConversion"/>
  <printOptions horizontalCentered="1" verticalCentered="1"/>
  <pageMargins left="0.7" right="0.7" top="0.75" bottom="0.75" header="0.3" footer="0.3"/>
  <pageSetup paperSize="9" scale="70" orientation="landscape" horizontalDpi="0" verticalDpi="0" copies="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CC8C9-A24A-CA46-9B70-31E9350C4399}">
  <sheetPr>
    <pageSetUpPr fitToPage="1"/>
  </sheetPr>
  <dimension ref="A1:P18"/>
  <sheetViews>
    <sheetView zoomScale="125" workbookViewId="0">
      <pane xSplit="2" ySplit="2" topLeftCell="C10" activePane="bottomRight" state="frozen"/>
      <selection pane="topRight" activeCell="C1" sqref="C1"/>
      <selection pane="bottomLeft" activeCell="A2" sqref="A2"/>
      <selection pane="bottomRight" activeCell="C8" sqref="C8"/>
    </sheetView>
  </sheetViews>
  <sheetFormatPr baseColWidth="10" defaultRowHeight="17"/>
  <cols>
    <col min="1" max="2" width="5.83203125" style="18" customWidth="1"/>
    <col min="3" max="3" width="18.33203125" style="18" bestFit="1" customWidth="1"/>
    <col min="4" max="4" width="11.6640625" style="18" customWidth="1"/>
    <col min="5" max="5" width="7.5" style="18" customWidth="1"/>
    <col min="6" max="6" width="15.6640625" style="18" bestFit="1" customWidth="1"/>
    <col min="7" max="7" width="5.6640625" style="18" customWidth="1"/>
    <col min="8" max="8" width="8.6640625" style="18" bestFit="1" customWidth="1"/>
    <col min="9" max="11" width="10.83203125" style="2"/>
    <col min="12" max="12" width="4.83203125" style="2" customWidth="1"/>
    <col min="13" max="13" width="10.83203125" style="2"/>
    <col min="14" max="14" width="9" style="2" customWidth="1"/>
    <col min="15" max="15" width="17" style="2" customWidth="1"/>
    <col min="16" max="16" width="11.6640625" style="2" bestFit="1" customWidth="1"/>
    <col min="17" max="16384" width="10.83203125" style="2"/>
  </cols>
  <sheetData>
    <row r="1" spans="1:16" ht="57" customHeight="1">
      <c r="A1" s="14"/>
      <c r="B1" s="15"/>
      <c r="C1" s="15"/>
      <c r="D1" s="15"/>
      <c r="E1" s="15"/>
      <c r="F1" s="15"/>
      <c r="G1" s="15"/>
      <c r="H1" s="15"/>
      <c r="I1" s="10"/>
      <c r="J1" s="10"/>
      <c r="K1" s="10"/>
      <c r="L1" s="10"/>
      <c r="M1" s="10"/>
      <c r="N1" s="10"/>
      <c r="O1" s="10"/>
      <c r="P1" s="11"/>
    </row>
    <row r="2" spans="1:16" ht="58" customHeight="1">
      <c r="A2" s="19" t="s">
        <v>391</v>
      </c>
      <c r="B2" s="16" t="s">
        <v>0</v>
      </c>
      <c r="C2" s="16" t="s">
        <v>163</v>
      </c>
      <c r="D2" s="16" t="s">
        <v>1</v>
      </c>
      <c r="E2" s="17" t="s">
        <v>162</v>
      </c>
      <c r="F2" s="16" t="s">
        <v>88</v>
      </c>
      <c r="G2" s="17" t="s">
        <v>164</v>
      </c>
      <c r="H2" s="17" t="s">
        <v>165</v>
      </c>
      <c r="I2" s="1" t="s">
        <v>2</v>
      </c>
      <c r="J2" s="1" t="s">
        <v>3</v>
      </c>
      <c r="K2" s="1" t="s">
        <v>4</v>
      </c>
      <c r="L2" s="1" t="s">
        <v>5</v>
      </c>
      <c r="M2" s="1" t="s">
        <v>6</v>
      </c>
      <c r="N2" s="1" t="s">
        <v>90</v>
      </c>
      <c r="O2" s="5" t="s">
        <v>384</v>
      </c>
      <c r="P2" s="1" t="s">
        <v>7</v>
      </c>
    </row>
    <row r="3" spans="1:16" ht="31" customHeight="1">
      <c r="A3" s="16">
        <v>129</v>
      </c>
      <c r="B3" s="48">
        <v>33</v>
      </c>
      <c r="C3" s="28" t="s">
        <v>241</v>
      </c>
      <c r="D3" s="16" t="s">
        <v>254</v>
      </c>
      <c r="E3" s="28"/>
      <c r="F3" s="28" t="s">
        <v>255</v>
      </c>
      <c r="G3" s="16" t="s">
        <v>174</v>
      </c>
      <c r="H3" s="16" t="s">
        <v>170</v>
      </c>
      <c r="I3" s="1"/>
      <c r="J3" s="1"/>
      <c r="K3" s="1"/>
      <c r="L3" s="1"/>
      <c r="M3" s="1">
        <f t="shared" ref="M3:M6" si="0">SUM(I3:L3)</f>
        <v>0</v>
      </c>
      <c r="N3" s="1" t="s">
        <v>89</v>
      </c>
      <c r="O3" s="1"/>
      <c r="P3" s="1"/>
    </row>
    <row r="4" spans="1:16" ht="31" customHeight="1">
      <c r="A4" s="16">
        <v>130</v>
      </c>
      <c r="B4" s="49"/>
      <c r="C4" s="31" t="s">
        <v>241</v>
      </c>
      <c r="D4" s="32" t="s">
        <v>256</v>
      </c>
      <c r="E4" s="31"/>
      <c r="F4" s="31" t="s">
        <v>257</v>
      </c>
      <c r="G4" s="32" t="s">
        <v>169</v>
      </c>
      <c r="H4" s="32" t="s">
        <v>170</v>
      </c>
      <c r="I4" s="25"/>
      <c r="J4" s="25"/>
      <c r="K4" s="25"/>
      <c r="L4" s="25">
        <v>36</v>
      </c>
      <c r="M4" s="25">
        <f t="shared" si="0"/>
        <v>36</v>
      </c>
      <c r="N4" s="25" t="s">
        <v>94</v>
      </c>
      <c r="O4" s="1"/>
      <c r="P4" s="1"/>
    </row>
    <row r="5" spans="1:16" ht="31" customHeight="1">
      <c r="A5" s="16">
        <v>131</v>
      </c>
      <c r="B5" s="49"/>
      <c r="C5" s="31" t="s">
        <v>241</v>
      </c>
      <c r="D5" s="32" t="s">
        <v>37</v>
      </c>
      <c r="E5" s="31"/>
      <c r="F5" s="31" t="s">
        <v>38</v>
      </c>
      <c r="G5" s="32" t="s">
        <v>169</v>
      </c>
      <c r="H5" s="32" t="s">
        <v>170</v>
      </c>
      <c r="I5" s="25"/>
      <c r="J5" s="25"/>
      <c r="K5" s="25"/>
      <c r="L5" s="25">
        <v>36</v>
      </c>
      <c r="M5" s="25">
        <f t="shared" si="0"/>
        <v>36</v>
      </c>
      <c r="N5" s="25" t="s">
        <v>94</v>
      </c>
      <c r="O5" s="1"/>
      <c r="P5" s="1"/>
    </row>
    <row r="6" spans="1:16" ht="31" customHeight="1">
      <c r="A6" s="33">
        <v>132</v>
      </c>
      <c r="B6" s="50"/>
      <c r="C6" s="29" t="s">
        <v>398</v>
      </c>
      <c r="D6" s="30" t="s">
        <v>401</v>
      </c>
      <c r="E6" s="29"/>
      <c r="F6" s="29" t="s">
        <v>402</v>
      </c>
      <c r="G6" s="30" t="s">
        <v>169</v>
      </c>
      <c r="H6" s="30" t="s">
        <v>175</v>
      </c>
      <c r="I6" s="26"/>
      <c r="J6" s="26"/>
      <c r="K6" s="26"/>
      <c r="L6" s="26">
        <v>36</v>
      </c>
      <c r="M6" s="26">
        <f t="shared" si="0"/>
        <v>36</v>
      </c>
      <c r="N6" s="26" t="s">
        <v>383</v>
      </c>
      <c r="O6" s="1"/>
      <c r="P6" s="4"/>
    </row>
    <row r="7" spans="1:16" ht="31" customHeight="1">
      <c r="A7" s="16">
        <v>133</v>
      </c>
      <c r="B7" s="48">
        <v>34</v>
      </c>
      <c r="C7" s="31" t="s">
        <v>241</v>
      </c>
      <c r="D7" s="32" t="s">
        <v>35</v>
      </c>
      <c r="E7" s="31"/>
      <c r="F7" s="31" t="s">
        <v>36</v>
      </c>
      <c r="G7" s="32" t="s">
        <v>169</v>
      </c>
      <c r="H7" s="32" t="s">
        <v>170</v>
      </c>
      <c r="I7" s="25"/>
      <c r="J7" s="25"/>
      <c r="K7" s="25"/>
      <c r="L7" s="25">
        <v>36</v>
      </c>
      <c r="M7" s="25">
        <f>SUM(I7:L7)</f>
        <v>36</v>
      </c>
      <c r="N7" s="25" t="s">
        <v>94</v>
      </c>
      <c r="O7" s="1"/>
      <c r="P7" s="1"/>
    </row>
    <row r="8" spans="1:16" ht="31" customHeight="1">
      <c r="A8" s="16">
        <v>134</v>
      </c>
      <c r="B8" s="49"/>
      <c r="C8" s="31" t="s">
        <v>241</v>
      </c>
      <c r="D8" s="32" t="s">
        <v>258</v>
      </c>
      <c r="E8" s="31" t="s">
        <v>259</v>
      </c>
      <c r="F8" s="31" t="s">
        <v>260</v>
      </c>
      <c r="G8" s="32" t="s">
        <v>169</v>
      </c>
      <c r="H8" s="32" t="s">
        <v>170</v>
      </c>
      <c r="I8" s="25"/>
      <c r="J8" s="25"/>
      <c r="K8" s="25"/>
      <c r="L8" s="25">
        <v>36</v>
      </c>
      <c r="M8" s="25">
        <f>SUM(I8:L8)</f>
        <v>36</v>
      </c>
      <c r="N8" s="25" t="s">
        <v>94</v>
      </c>
      <c r="O8" s="1"/>
      <c r="P8" s="1"/>
    </row>
    <row r="9" spans="1:16" ht="31" customHeight="1">
      <c r="A9" s="16">
        <v>135</v>
      </c>
      <c r="B9" s="49"/>
      <c r="C9" s="28" t="s">
        <v>294</v>
      </c>
      <c r="D9" s="16" t="s">
        <v>55</v>
      </c>
      <c r="E9" s="28" t="s">
        <v>178</v>
      </c>
      <c r="F9" s="28" t="s">
        <v>56</v>
      </c>
      <c r="G9" s="16" t="s">
        <v>174</v>
      </c>
      <c r="H9" s="16" t="s">
        <v>170</v>
      </c>
      <c r="I9" s="1"/>
      <c r="J9" s="1"/>
      <c r="K9" s="1"/>
      <c r="L9" s="1"/>
      <c r="M9" s="1">
        <f t="shared" ref="M9:M13" si="1">SUM(I9:L9)</f>
        <v>0</v>
      </c>
      <c r="N9" s="1" t="s">
        <v>89</v>
      </c>
      <c r="O9" s="1"/>
      <c r="P9" s="4"/>
    </row>
    <row r="10" spans="1:16" ht="31" customHeight="1">
      <c r="A10" s="16">
        <v>136</v>
      </c>
      <c r="B10" s="50"/>
      <c r="C10" s="28" t="s">
        <v>294</v>
      </c>
      <c r="D10" s="16" t="s">
        <v>295</v>
      </c>
      <c r="E10" s="28" t="s">
        <v>198</v>
      </c>
      <c r="F10" s="28" t="s">
        <v>50</v>
      </c>
      <c r="G10" s="16" t="s">
        <v>174</v>
      </c>
      <c r="H10" s="16" t="s">
        <v>170</v>
      </c>
      <c r="I10" s="1"/>
      <c r="J10" s="1"/>
      <c r="K10" s="1"/>
      <c r="L10" s="1"/>
      <c r="M10" s="1">
        <f t="shared" si="1"/>
        <v>0</v>
      </c>
      <c r="N10" s="1" t="s">
        <v>89</v>
      </c>
      <c r="O10" s="1"/>
      <c r="P10" s="4"/>
    </row>
    <row r="11" spans="1:16" ht="31" customHeight="1">
      <c r="A11" s="16">
        <v>137</v>
      </c>
      <c r="B11" s="48">
        <v>35</v>
      </c>
      <c r="C11" s="28" t="s">
        <v>294</v>
      </c>
      <c r="D11" s="16" t="s">
        <v>57</v>
      </c>
      <c r="E11" s="28" t="s">
        <v>198</v>
      </c>
      <c r="F11" s="28" t="s">
        <v>54</v>
      </c>
      <c r="G11" s="16" t="s">
        <v>174</v>
      </c>
      <c r="H11" s="16" t="s">
        <v>170</v>
      </c>
      <c r="I11" s="1"/>
      <c r="J11" s="1"/>
      <c r="K11" s="1"/>
      <c r="L11" s="1"/>
      <c r="M11" s="1">
        <f t="shared" si="1"/>
        <v>0</v>
      </c>
      <c r="N11" s="1" t="s">
        <v>89</v>
      </c>
      <c r="O11" s="1"/>
      <c r="P11" s="4"/>
    </row>
    <row r="12" spans="1:16" ht="31" customHeight="1">
      <c r="A12" s="16">
        <v>138</v>
      </c>
      <c r="B12" s="49"/>
      <c r="C12" s="31" t="s">
        <v>294</v>
      </c>
      <c r="D12" s="32" t="s">
        <v>296</v>
      </c>
      <c r="E12" s="31" t="s">
        <v>171</v>
      </c>
      <c r="F12" s="31" t="s">
        <v>297</v>
      </c>
      <c r="G12" s="32" t="s">
        <v>169</v>
      </c>
      <c r="H12" s="32" t="s">
        <v>170</v>
      </c>
      <c r="I12" s="25"/>
      <c r="J12" s="25"/>
      <c r="K12" s="25"/>
      <c r="L12" s="25">
        <v>36</v>
      </c>
      <c r="M12" s="25">
        <f t="shared" si="1"/>
        <v>36</v>
      </c>
      <c r="N12" s="25" t="s">
        <v>94</v>
      </c>
      <c r="O12" s="1"/>
      <c r="P12" s="4"/>
    </row>
    <row r="13" spans="1:16" ht="31" customHeight="1">
      <c r="A13" s="16">
        <v>139</v>
      </c>
      <c r="B13" s="49"/>
      <c r="C13" s="31" t="s">
        <v>294</v>
      </c>
      <c r="D13" s="32" t="s">
        <v>298</v>
      </c>
      <c r="E13" s="31"/>
      <c r="F13" s="31" t="s">
        <v>299</v>
      </c>
      <c r="G13" s="32" t="s">
        <v>169</v>
      </c>
      <c r="H13" s="32" t="s">
        <v>170</v>
      </c>
      <c r="I13" s="25"/>
      <c r="J13" s="25"/>
      <c r="K13" s="25"/>
      <c r="L13" s="25">
        <v>36</v>
      </c>
      <c r="M13" s="25">
        <f t="shared" si="1"/>
        <v>36</v>
      </c>
      <c r="N13" s="25" t="s">
        <v>94</v>
      </c>
      <c r="O13" s="1"/>
      <c r="P13" s="4"/>
    </row>
    <row r="14" spans="1:16" ht="31" customHeight="1">
      <c r="A14" s="33">
        <v>140</v>
      </c>
      <c r="B14" s="50"/>
      <c r="C14" s="28" t="s">
        <v>398</v>
      </c>
      <c r="D14" s="16" t="s">
        <v>399</v>
      </c>
      <c r="E14" s="28" t="s">
        <v>178</v>
      </c>
      <c r="F14" s="28" t="s">
        <v>400</v>
      </c>
      <c r="G14" s="16" t="s">
        <v>174</v>
      </c>
      <c r="H14" s="16" t="s">
        <v>170</v>
      </c>
      <c r="I14" s="1"/>
      <c r="J14" s="1"/>
      <c r="K14" s="1"/>
      <c r="L14" s="1"/>
      <c r="M14" s="1">
        <f>SUM(I14:L14)</f>
        <v>0</v>
      </c>
      <c r="N14" s="1" t="s">
        <v>89</v>
      </c>
      <c r="O14" s="1"/>
      <c r="P14" s="4"/>
    </row>
    <row r="15" spans="1:16" ht="31" customHeight="1">
      <c r="A15" s="16">
        <v>141</v>
      </c>
      <c r="B15" s="48">
        <v>36</v>
      </c>
      <c r="C15" s="28" t="s">
        <v>261</v>
      </c>
      <c r="D15" s="16" t="s">
        <v>262</v>
      </c>
      <c r="E15" s="28" t="s">
        <v>221</v>
      </c>
      <c r="F15" s="28" t="s">
        <v>263</v>
      </c>
      <c r="G15" s="16" t="s">
        <v>174</v>
      </c>
      <c r="H15" s="16" t="s">
        <v>170</v>
      </c>
      <c r="I15" s="1"/>
      <c r="J15" s="1"/>
      <c r="K15" s="1"/>
      <c r="L15" s="1"/>
      <c r="M15" s="1">
        <f>SUM(I15:L15)</f>
        <v>0</v>
      </c>
      <c r="N15" s="1" t="s">
        <v>89</v>
      </c>
      <c r="O15" s="1"/>
      <c r="P15" s="4"/>
    </row>
    <row r="16" spans="1:16" ht="31" customHeight="1">
      <c r="A16" s="16">
        <v>142</v>
      </c>
      <c r="B16" s="49"/>
      <c r="C16" s="28" t="s">
        <v>261</v>
      </c>
      <c r="D16" s="16" t="s">
        <v>264</v>
      </c>
      <c r="E16" s="28"/>
      <c r="F16" s="28" t="s">
        <v>265</v>
      </c>
      <c r="G16" s="16" t="s">
        <v>174</v>
      </c>
      <c r="H16" s="16" t="s">
        <v>170</v>
      </c>
      <c r="I16" s="1"/>
      <c r="J16" s="1"/>
      <c r="K16" s="1"/>
      <c r="L16" s="1"/>
      <c r="M16" s="1">
        <f>SUM(I16:L16)</f>
        <v>0</v>
      </c>
      <c r="N16" s="1" t="s">
        <v>89</v>
      </c>
      <c r="O16" s="1"/>
      <c r="P16" s="4"/>
    </row>
    <row r="17" spans="1:16" ht="31" customHeight="1">
      <c r="A17" s="16">
        <v>143</v>
      </c>
      <c r="B17" s="49"/>
      <c r="C17" s="28" t="s">
        <v>261</v>
      </c>
      <c r="D17" s="16" t="s">
        <v>266</v>
      </c>
      <c r="E17" s="28"/>
      <c r="F17" s="28" t="s">
        <v>267</v>
      </c>
      <c r="G17" s="16" t="s">
        <v>174</v>
      </c>
      <c r="H17" s="16" t="s">
        <v>170</v>
      </c>
      <c r="I17" s="1"/>
      <c r="J17" s="1"/>
      <c r="K17" s="1"/>
      <c r="L17" s="1"/>
      <c r="M17" s="1">
        <f>SUM(I17:L17)</f>
        <v>0</v>
      </c>
      <c r="N17" s="1" t="s">
        <v>89</v>
      </c>
      <c r="O17" s="1"/>
      <c r="P17" s="4"/>
    </row>
    <row r="18" spans="1:16" ht="31" customHeight="1">
      <c r="A18" s="16">
        <v>144</v>
      </c>
      <c r="B18" s="50"/>
      <c r="C18" s="31" t="s">
        <v>166</v>
      </c>
      <c r="D18" s="32" t="s">
        <v>8</v>
      </c>
      <c r="E18" s="31" t="s">
        <v>167</v>
      </c>
      <c r="F18" s="31" t="s">
        <v>168</v>
      </c>
      <c r="G18" s="32" t="s">
        <v>169</v>
      </c>
      <c r="H18" s="32" t="s">
        <v>170</v>
      </c>
      <c r="I18" s="25"/>
      <c r="J18" s="25"/>
      <c r="K18" s="25"/>
      <c r="L18" s="25">
        <v>36</v>
      </c>
      <c r="M18" s="25">
        <f>SUM(I18:L18)</f>
        <v>36</v>
      </c>
      <c r="N18" s="25" t="s">
        <v>94</v>
      </c>
      <c r="O18" s="1"/>
      <c r="P18" s="22" t="s">
        <v>390</v>
      </c>
    </row>
  </sheetData>
  <autoFilter ref="A2:P18" xr:uid="{860B255A-4513-4E43-AEA4-D835803EB8B4}"/>
  <mergeCells count="4">
    <mergeCell ref="B3:B6"/>
    <mergeCell ref="B7:B10"/>
    <mergeCell ref="B11:B14"/>
    <mergeCell ref="B15:B18"/>
  </mergeCells>
  <phoneticPr fontId="1" type="noConversion"/>
  <printOptions horizontalCentered="1" verticalCentered="1"/>
  <pageMargins left="0.7" right="0.7" top="0.75" bottom="0.75" header="0.3" footer="0.3"/>
  <pageSetup paperSize="9" scale="70" orientation="landscape" horizontalDpi="0" verticalDpi="0" copies="2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BE73B1-7631-0D46-949B-5FD7E435F682}">
  <dimension ref="A1:P18"/>
  <sheetViews>
    <sheetView zoomScale="125" workbookViewId="0">
      <pane xSplit="2" ySplit="2" topLeftCell="C3" activePane="bottomRight" state="frozen"/>
      <selection pane="topRight" activeCell="C1" sqref="C1"/>
      <selection pane="bottomLeft" activeCell="A2" sqref="A2"/>
      <selection pane="bottomRight" activeCell="K7" sqref="K7"/>
    </sheetView>
  </sheetViews>
  <sheetFormatPr baseColWidth="10" defaultRowHeight="17"/>
  <cols>
    <col min="1" max="2" width="5.83203125" style="18" customWidth="1"/>
    <col min="3" max="3" width="18.33203125" style="18" bestFit="1" customWidth="1"/>
    <col min="4" max="4" width="11.6640625" style="18" customWidth="1"/>
    <col min="5" max="5" width="7.5" style="18" customWidth="1"/>
    <col min="6" max="6" width="15.6640625" style="18" bestFit="1" customWidth="1"/>
    <col min="7" max="7" width="5.6640625" style="18" customWidth="1"/>
    <col min="8" max="8" width="8.6640625" style="18" bestFit="1" customWidth="1"/>
    <col min="9" max="11" width="10.83203125" style="2"/>
    <col min="12" max="12" width="4.83203125" style="2" customWidth="1"/>
    <col min="13" max="13" width="10.83203125" style="2"/>
    <col min="14" max="14" width="9" style="2" customWidth="1"/>
    <col min="15" max="15" width="17" style="2" customWidth="1"/>
    <col min="16" max="16" width="11.6640625" style="2" bestFit="1" customWidth="1"/>
    <col min="17" max="16384" width="10.83203125" style="2"/>
  </cols>
  <sheetData>
    <row r="1" spans="1:16" ht="57" customHeight="1">
      <c r="A1" s="14"/>
      <c r="B1" s="15"/>
      <c r="C1" s="15"/>
      <c r="D1" s="15"/>
      <c r="E1" s="15"/>
      <c r="F1" s="15"/>
      <c r="G1" s="15"/>
      <c r="H1" s="15"/>
      <c r="I1" s="10"/>
      <c r="J1" s="10"/>
      <c r="K1" s="10"/>
      <c r="L1" s="10"/>
      <c r="M1" s="10"/>
      <c r="N1" s="10"/>
      <c r="O1" s="10"/>
      <c r="P1" s="11"/>
    </row>
    <row r="2" spans="1:16" ht="58" customHeight="1">
      <c r="A2" s="19" t="s">
        <v>391</v>
      </c>
      <c r="B2" s="16" t="s">
        <v>0</v>
      </c>
      <c r="C2" s="16" t="s">
        <v>163</v>
      </c>
      <c r="D2" s="16" t="s">
        <v>1</v>
      </c>
      <c r="E2" s="17" t="s">
        <v>162</v>
      </c>
      <c r="F2" s="16" t="s">
        <v>88</v>
      </c>
      <c r="G2" s="17" t="s">
        <v>164</v>
      </c>
      <c r="H2" s="17" t="s">
        <v>165</v>
      </c>
      <c r="I2" s="1" t="s">
        <v>2</v>
      </c>
      <c r="J2" s="1" t="s">
        <v>3</v>
      </c>
      <c r="K2" s="1" t="s">
        <v>4</v>
      </c>
      <c r="L2" s="1" t="s">
        <v>5</v>
      </c>
      <c r="M2" s="1" t="s">
        <v>6</v>
      </c>
      <c r="N2" s="1" t="s">
        <v>90</v>
      </c>
      <c r="O2" s="5" t="s">
        <v>384</v>
      </c>
      <c r="P2" s="1" t="s">
        <v>7</v>
      </c>
    </row>
    <row r="3" spans="1:16" ht="30" customHeight="1">
      <c r="A3" s="16">
        <v>145</v>
      </c>
      <c r="B3" s="48">
        <v>37</v>
      </c>
      <c r="C3" s="31" t="s">
        <v>166</v>
      </c>
      <c r="D3" s="32" t="s">
        <v>9</v>
      </c>
      <c r="E3" s="31" t="s">
        <v>171</v>
      </c>
      <c r="F3" s="31" t="s">
        <v>172</v>
      </c>
      <c r="G3" s="32" t="s">
        <v>169</v>
      </c>
      <c r="H3" s="32" t="s">
        <v>170</v>
      </c>
      <c r="I3" s="25"/>
      <c r="J3" s="25"/>
      <c r="K3" s="25"/>
      <c r="L3" s="25">
        <v>36</v>
      </c>
      <c r="M3" s="25">
        <f t="shared" ref="M3:M17" si="0">SUM(I3:L3)</f>
        <v>36</v>
      </c>
      <c r="N3" s="25" t="s">
        <v>94</v>
      </c>
      <c r="O3" s="1"/>
      <c r="P3" s="3"/>
    </row>
    <row r="4" spans="1:16" ht="30" customHeight="1">
      <c r="A4" s="16">
        <v>146</v>
      </c>
      <c r="B4" s="49"/>
      <c r="C4" s="29" t="s">
        <v>166</v>
      </c>
      <c r="D4" s="30" t="s">
        <v>173</v>
      </c>
      <c r="E4" s="29"/>
      <c r="F4" s="29" t="s">
        <v>10</v>
      </c>
      <c r="G4" s="30" t="s">
        <v>174</v>
      </c>
      <c r="H4" s="30" t="s">
        <v>175</v>
      </c>
      <c r="I4" s="26"/>
      <c r="J4" s="26"/>
      <c r="K4" s="26"/>
      <c r="L4" s="26"/>
      <c r="M4" s="26">
        <f t="shared" si="0"/>
        <v>0</v>
      </c>
      <c r="N4" s="26" t="s">
        <v>383</v>
      </c>
      <c r="O4" s="1"/>
      <c r="P4" s="3"/>
    </row>
    <row r="5" spans="1:16" ht="30" customHeight="1">
      <c r="A5" s="16">
        <v>147</v>
      </c>
      <c r="B5" s="49"/>
      <c r="C5" s="31" t="s">
        <v>166</v>
      </c>
      <c r="D5" s="32" t="s">
        <v>11</v>
      </c>
      <c r="E5" s="31"/>
      <c r="F5" s="31" t="s">
        <v>12</v>
      </c>
      <c r="G5" s="32" t="s">
        <v>169</v>
      </c>
      <c r="H5" s="32" t="s">
        <v>170</v>
      </c>
      <c r="I5" s="25"/>
      <c r="J5" s="25"/>
      <c r="K5" s="25"/>
      <c r="L5" s="25">
        <v>36</v>
      </c>
      <c r="M5" s="25">
        <f t="shared" si="0"/>
        <v>36</v>
      </c>
      <c r="N5" s="25" t="s">
        <v>94</v>
      </c>
      <c r="O5" s="1"/>
      <c r="P5" s="3"/>
    </row>
    <row r="6" spans="1:16" ht="30" customHeight="1">
      <c r="A6" s="33">
        <v>148</v>
      </c>
      <c r="B6" s="50"/>
      <c r="C6" s="28" t="s">
        <v>166</v>
      </c>
      <c r="D6" s="16" t="s">
        <v>403</v>
      </c>
      <c r="E6" s="28" t="s">
        <v>404</v>
      </c>
      <c r="F6" s="28" t="s">
        <v>405</v>
      </c>
      <c r="G6" s="16" t="s">
        <v>174</v>
      </c>
      <c r="H6" s="16" t="s">
        <v>170</v>
      </c>
      <c r="I6" s="1"/>
      <c r="J6" s="1"/>
      <c r="K6" s="1"/>
      <c r="L6" s="1"/>
      <c r="M6" s="1">
        <f>SUM(I6:L6)</f>
        <v>0</v>
      </c>
      <c r="N6" s="1" t="s">
        <v>89</v>
      </c>
      <c r="O6" s="1"/>
      <c r="P6" s="27"/>
    </row>
    <row r="7" spans="1:16" ht="30" customHeight="1">
      <c r="A7" s="16">
        <v>149</v>
      </c>
      <c r="B7" s="48">
        <v>38</v>
      </c>
      <c r="C7" s="29" t="s">
        <v>166</v>
      </c>
      <c r="D7" s="30" t="s">
        <v>13</v>
      </c>
      <c r="E7" s="29"/>
      <c r="F7" s="29" t="s">
        <v>14</v>
      </c>
      <c r="G7" s="30" t="s">
        <v>174</v>
      </c>
      <c r="H7" s="30" t="s">
        <v>175</v>
      </c>
      <c r="I7" s="26"/>
      <c r="J7" s="26"/>
      <c r="K7" s="26"/>
      <c r="L7" s="26"/>
      <c r="M7" s="26">
        <f t="shared" si="0"/>
        <v>0</v>
      </c>
      <c r="N7" s="26" t="s">
        <v>383</v>
      </c>
      <c r="O7" s="1"/>
      <c r="P7" s="3"/>
    </row>
    <row r="8" spans="1:16" ht="30" customHeight="1">
      <c r="A8" s="16">
        <v>150</v>
      </c>
      <c r="B8" s="49"/>
      <c r="C8" s="31" t="s">
        <v>176</v>
      </c>
      <c r="D8" s="32" t="s">
        <v>177</v>
      </c>
      <c r="E8" s="31" t="s">
        <v>178</v>
      </c>
      <c r="F8" s="31" t="s">
        <v>179</v>
      </c>
      <c r="G8" s="32" t="s">
        <v>169</v>
      </c>
      <c r="H8" s="32" t="s">
        <v>170</v>
      </c>
      <c r="I8" s="25"/>
      <c r="J8" s="25"/>
      <c r="K8" s="25"/>
      <c r="L8" s="25">
        <v>36</v>
      </c>
      <c r="M8" s="25">
        <f t="shared" si="0"/>
        <v>36</v>
      </c>
      <c r="N8" s="25" t="s">
        <v>94</v>
      </c>
      <c r="O8" s="1"/>
      <c r="P8" s="3"/>
    </row>
    <row r="9" spans="1:16" ht="30" customHeight="1">
      <c r="A9" s="16">
        <v>151</v>
      </c>
      <c r="B9" s="49"/>
      <c r="C9" s="31" t="s">
        <v>176</v>
      </c>
      <c r="D9" s="32" t="s">
        <v>15</v>
      </c>
      <c r="E9" s="31" t="s">
        <v>180</v>
      </c>
      <c r="F9" s="31" t="s">
        <v>181</v>
      </c>
      <c r="G9" s="32" t="s">
        <v>169</v>
      </c>
      <c r="H9" s="32" t="s">
        <v>170</v>
      </c>
      <c r="I9" s="25"/>
      <c r="J9" s="25"/>
      <c r="K9" s="25"/>
      <c r="L9" s="25">
        <v>36</v>
      </c>
      <c r="M9" s="25">
        <f t="shared" si="0"/>
        <v>36</v>
      </c>
      <c r="N9" s="25" t="s">
        <v>94</v>
      </c>
      <c r="O9" s="1"/>
      <c r="P9" s="3"/>
    </row>
    <row r="10" spans="1:16" ht="30" customHeight="1">
      <c r="A10" s="16">
        <v>152</v>
      </c>
      <c r="B10" s="50"/>
      <c r="C10" s="28"/>
      <c r="D10" s="16"/>
      <c r="E10" s="28"/>
      <c r="F10" s="28"/>
      <c r="G10" s="16"/>
      <c r="H10" s="16"/>
      <c r="I10" s="1"/>
      <c r="J10" s="1"/>
      <c r="K10" s="1"/>
      <c r="L10" s="1"/>
      <c r="M10" s="1"/>
      <c r="N10" s="1"/>
      <c r="O10" s="1"/>
      <c r="P10" s="27"/>
    </row>
    <row r="11" spans="1:16" ht="30" customHeight="1">
      <c r="A11" s="16">
        <v>153</v>
      </c>
      <c r="B11" s="48">
        <v>39</v>
      </c>
      <c r="C11" s="31" t="s">
        <v>176</v>
      </c>
      <c r="D11" s="32" t="s">
        <v>182</v>
      </c>
      <c r="E11" s="31" t="s">
        <v>183</v>
      </c>
      <c r="F11" s="31" t="s">
        <v>184</v>
      </c>
      <c r="G11" s="32" t="s">
        <v>169</v>
      </c>
      <c r="H11" s="32" t="s">
        <v>170</v>
      </c>
      <c r="I11" s="25"/>
      <c r="J11" s="25"/>
      <c r="K11" s="25"/>
      <c r="L11" s="25">
        <v>36</v>
      </c>
      <c r="M11" s="25">
        <f t="shared" si="0"/>
        <v>36</v>
      </c>
      <c r="N11" s="25" t="s">
        <v>94</v>
      </c>
      <c r="O11" s="1"/>
      <c r="P11" s="1"/>
    </row>
    <row r="12" spans="1:16" ht="30" customHeight="1">
      <c r="A12" s="16">
        <v>154</v>
      </c>
      <c r="B12" s="49"/>
      <c r="C12" s="31" t="s">
        <v>176</v>
      </c>
      <c r="D12" s="32" t="s">
        <v>16</v>
      </c>
      <c r="E12" s="31"/>
      <c r="F12" s="31" t="s">
        <v>17</v>
      </c>
      <c r="G12" s="32" t="s">
        <v>169</v>
      </c>
      <c r="H12" s="32" t="s">
        <v>170</v>
      </c>
      <c r="I12" s="25"/>
      <c r="J12" s="25"/>
      <c r="K12" s="25"/>
      <c r="L12" s="25">
        <v>36</v>
      </c>
      <c r="M12" s="25">
        <f t="shared" si="0"/>
        <v>36</v>
      </c>
      <c r="N12" s="25" t="s">
        <v>94</v>
      </c>
      <c r="O12" s="1"/>
      <c r="P12" s="1"/>
    </row>
    <row r="13" spans="1:16" ht="30" customHeight="1">
      <c r="A13" s="16">
        <v>155</v>
      </c>
      <c r="B13" s="49"/>
      <c r="C13" s="31" t="s">
        <v>176</v>
      </c>
      <c r="D13" s="32" t="s">
        <v>18</v>
      </c>
      <c r="E13" s="31"/>
      <c r="F13" s="31" t="s">
        <v>19</v>
      </c>
      <c r="G13" s="32" t="s">
        <v>169</v>
      </c>
      <c r="H13" s="32" t="s">
        <v>170</v>
      </c>
      <c r="I13" s="25"/>
      <c r="J13" s="25"/>
      <c r="K13" s="25"/>
      <c r="L13" s="25">
        <v>36</v>
      </c>
      <c r="M13" s="25">
        <f t="shared" si="0"/>
        <v>36</v>
      </c>
      <c r="N13" s="25" t="s">
        <v>94</v>
      </c>
      <c r="O13" s="1"/>
      <c r="P13" s="1"/>
    </row>
    <row r="14" spans="1:16" ht="30" customHeight="1">
      <c r="A14" s="16">
        <v>156</v>
      </c>
      <c r="B14" s="50"/>
      <c r="C14" s="28"/>
      <c r="D14" s="16"/>
      <c r="E14" s="28"/>
      <c r="F14" s="28"/>
      <c r="G14" s="16"/>
      <c r="H14" s="16"/>
      <c r="I14" s="1"/>
      <c r="J14" s="1"/>
      <c r="K14" s="1"/>
      <c r="L14" s="1"/>
      <c r="M14" s="1"/>
      <c r="N14" s="1"/>
      <c r="O14" s="1"/>
      <c r="P14" s="1"/>
    </row>
    <row r="15" spans="1:16" ht="30" customHeight="1">
      <c r="A15" s="16">
        <v>157</v>
      </c>
      <c r="B15" s="48">
        <v>40</v>
      </c>
      <c r="C15" s="31" t="s">
        <v>176</v>
      </c>
      <c r="D15" s="32" t="s">
        <v>185</v>
      </c>
      <c r="E15" s="31"/>
      <c r="F15" s="31" t="s">
        <v>186</v>
      </c>
      <c r="G15" s="32" t="s">
        <v>169</v>
      </c>
      <c r="H15" s="32" t="s">
        <v>170</v>
      </c>
      <c r="I15" s="25"/>
      <c r="J15" s="25"/>
      <c r="K15" s="25"/>
      <c r="L15" s="25">
        <v>36</v>
      </c>
      <c r="M15" s="25">
        <f t="shared" si="0"/>
        <v>36</v>
      </c>
      <c r="N15" s="25" t="s">
        <v>94</v>
      </c>
      <c r="O15" s="1"/>
      <c r="P15" s="1"/>
    </row>
    <row r="16" spans="1:16" ht="30" customHeight="1">
      <c r="A16" s="16">
        <v>158</v>
      </c>
      <c r="B16" s="49"/>
      <c r="C16" s="29" t="s">
        <v>176</v>
      </c>
      <c r="D16" s="30" t="s">
        <v>187</v>
      </c>
      <c r="E16" s="29"/>
      <c r="F16" s="29" t="s">
        <v>188</v>
      </c>
      <c r="G16" s="30" t="s">
        <v>174</v>
      </c>
      <c r="H16" s="30" t="s">
        <v>228</v>
      </c>
      <c r="I16" s="26"/>
      <c r="J16" s="26"/>
      <c r="K16" s="26"/>
      <c r="L16" s="26"/>
      <c r="M16" s="26">
        <f t="shared" si="0"/>
        <v>0</v>
      </c>
      <c r="N16" s="26" t="s">
        <v>383</v>
      </c>
      <c r="O16" s="1"/>
      <c r="P16" s="1"/>
    </row>
    <row r="17" spans="1:16" ht="30" customHeight="1">
      <c r="A17" s="16">
        <v>159</v>
      </c>
      <c r="B17" s="49"/>
      <c r="C17" s="29" t="s">
        <v>176</v>
      </c>
      <c r="D17" s="30" t="s">
        <v>189</v>
      </c>
      <c r="E17" s="29"/>
      <c r="F17" s="29" t="s">
        <v>190</v>
      </c>
      <c r="G17" s="30" t="s">
        <v>174</v>
      </c>
      <c r="H17" s="30" t="s">
        <v>228</v>
      </c>
      <c r="I17" s="26"/>
      <c r="J17" s="26"/>
      <c r="K17" s="26"/>
      <c r="L17" s="26"/>
      <c r="M17" s="26">
        <f t="shared" si="0"/>
        <v>0</v>
      </c>
      <c r="N17" s="26" t="s">
        <v>383</v>
      </c>
      <c r="O17" s="1"/>
      <c r="P17" s="1"/>
    </row>
    <row r="18" spans="1:16" ht="30" customHeight="1">
      <c r="A18" s="16">
        <v>160</v>
      </c>
      <c r="B18" s="50"/>
      <c r="C18" s="28"/>
      <c r="D18" s="16"/>
      <c r="E18" s="28"/>
      <c r="F18" s="28"/>
      <c r="G18" s="16"/>
      <c r="H18" s="16"/>
      <c r="I18" s="1"/>
      <c r="J18" s="1"/>
      <c r="K18" s="1"/>
      <c r="L18" s="1"/>
      <c r="M18" s="1"/>
      <c r="N18" s="1"/>
      <c r="O18" s="1"/>
      <c r="P18" s="1"/>
    </row>
  </sheetData>
  <autoFilter ref="A2:P17" xr:uid="{860B255A-4513-4E43-AEA4-D835803EB8B4}"/>
  <mergeCells count="4">
    <mergeCell ref="B3:B6"/>
    <mergeCell ref="B7:B10"/>
    <mergeCell ref="B11:B14"/>
    <mergeCell ref="B15:B18"/>
  </mergeCells>
  <phoneticPr fontId="1" type="noConversion"/>
  <printOptions horizontalCentered="1" verticalCentered="1"/>
  <pageMargins left="0.7" right="0.7" top="0.75" bottom="0.75" header="0.3" footer="0.3"/>
  <pageSetup paperSize="9" scale="70" orientation="landscape" horizontalDpi="0" verticalDpi="0" copies="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15</vt:i4>
      </vt:variant>
    </vt:vector>
  </HeadingPairs>
  <TitlesOfParts>
    <vt:vector size="15" baseType="lpstr">
      <vt:lpstr>統計K</vt:lpstr>
      <vt:lpstr>執掌 (2)</vt:lpstr>
      <vt:lpstr>執掌</vt:lpstr>
      <vt:lpstr>0712</vt:lpstr>
      <vt:lpstr>0807</vt:lpstr>
      <vt:lpstr>計分員1</vt:lpstr>
      <vt:lpstr>計分員2</vt:lpstr>
      <vt:lpstr>計分員3</vt:lpstr>
      <vt:lpstr>計分員4</vt:lpstr>
      <vt:lpstr>計分員5</vt:lpstr>
      <vt:lpstr>計分員6</vt:lpstr>
      <vt:lpstr>計分員7</vt:lpstr>
      <vt:lpstr>計分員8</vt:lpstr>
      <vt:lpstr>計分員9</vt:lpstr>
      <vt:lpstr>計分員10)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韶謚 倪</cp:lastModifiedBy>
  <cp:lastPrinted>2024-12-13T12:58:23Z</cp:lastPrinted>
  <dcterms:created xsi:type="dcterms:W3CDTF">2023-08-16T06:11:22Z</dcterms:created>
  <dcterms:modified xsi:type="dcterms:W3CDTF">2026-08-25T08:09:11Z</dcterms:modified>
</cp:coreProperties>
</file>