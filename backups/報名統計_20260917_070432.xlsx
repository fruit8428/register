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inlineStr">
        <is>
          <t>協辦社</t>
        </is>
      </c>
      <c r="E2" s="99">
        <f t="array" ref="E2">IF(D2="主辦社",10000,IF(D2="協辦社",5000,IF(D2="贊助社",3000,0)))</f>
        <v/>
      </c>
      <c r="F2" s="99" t="n"/>
      <c r="G2" s="10" t="n">
        <v>4</v>
      </c>
      <c r="H2" s="100">
        <f>G2*1200</f>
        <v/>
      </c>
      <c r="I2" s="10" t="n">
        <v>4</v>
      </c>
      <c r="J2" s="100">
        <f t="array" ref="J2">I2*1000</f>
        <v/>
      </c>
      <c r="K2" s="100">
        <f t="array" ref="K2">J2+H2+E2</f>
        <v/>
      </c>
      <c r="L2" s="12" t="inlineStr">
        <is>
          <t>2026/09/17</t>
        </is>
      </c>
      <c r="M2" s="101" t="n">
        <v>5800</v>
      </c>
      <c r="N2" s="102">
        <f t="array" ref="N2">M2-K2</f>
        <v/>
      </c>
      <c r="O2" s="15" t="inlineStr">
        <is>
          <t>模擬報名寫入；跨行轉入 末碼:39270</t>
        </is>
      </c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2026-09-16T22:57:05Z</dcterms:modified>
</cp:coreProperties>
</file>