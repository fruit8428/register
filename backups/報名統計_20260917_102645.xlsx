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1</v>
      </c>
      <c r="J2" s="100">
        <f t="array" ref="J2">I2*1000</f>
        <v/>
      </c>
      <c r="K2" s="100">
        <f t="array" ref="K2">J2+H2+E2</f>
        <v/>
      </c>
      <c r="L2" s="12" t="inlineStr">
        <is>
          <t>2026/09/17</t>
        </is>
      </c>
      <c r="M2" s="101" t="n">
        <v>5800</v>
      </c>
      <c r="N2" s="102">
        <f t="array" ref="N2">M2-K2</f>
        <v/>
      </c>
      <c r="O2" s="15" t="inlineStr">
        <is>
          <t>模擬報名寫入；跨行轉入 末碼:39270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inlineStr">
        <is>
          <t>協辦社</t>
        </is>
      </c>
      <c r="E70" s="107">
        <f t="array" ref="E70">IF(D70="主辦社",10000,IF(D70="協辦社",5000,IF(D70="贊助社",3000,0)))</f>
        <v/>
      </c>
      <c r="F70" s="107" t="n"/>
      <c r="G70" s="32" t="n">
        <v>4</v>
      </c>
      <c r="H70" s="108">
        <f>G70*1200</f>
        <v/>
      </c>
      <c r="I70" s="32" t="n">
        <v>1</v>
      </c>
      <c r="J70" s="108">
        <f t="array" ref="J70">I70*1000</f>
        <v/>
      </c>
      <c r="K70" s="108">
        <f t="array" ref="K70">J70+H70+E70</f>
        <v/>
      </c>
      <c r="L70" s="44" t="inlineStr">
        <is>
          <t>2026/09/17</t>
        </is>
      </c>
      <c r="M70" s="109" t="n">
        <v>10800</v>
      </c>
      <c r="N70" s="110">
        <f t="array" ref="N70">M70-K70</f>
        <v/>
      </c>
      <c r="O70" s="46" t="inlineStr">
        <is>
          <t>模擬報名寫入</t>
        </is>
      </c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2026-09-17T02:26:09Z</dcterms:modified>
</cp:coreProperties>
</file>