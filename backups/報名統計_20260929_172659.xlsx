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inlineStr">
        <is>
          <t>協辦社</t>
        </is>
      </c>
      <c r="E53" s="107">
        <f t="array" ref="E53">IF(D53="主辦社",10000,IF(D53="協辦社",5000,IF(D53="贊助社",3000,0)))</f>
        <v/>
      </c>
      <c r="F53" s="107" t="n"/>
      <c r="G53" s="32" t="n">
        <v>7</v>
      </c>
      <c r="H53" s="108">
        <f>G53*1200</f>
        <v/>
      </c>
      <c r="I53" s="32" t="n">
        <v>0</v>
      </c>
      <c r="J53" s="108">
        <f t="array" ref="J53">I53*1000</f>
        <v/>
      </c>
      <c r="K53" s="108">
        <f t="array" ref="K53">J53+H53+E53</f>
        <v/>
      </c>
      <c r="L53" s="44" t="inlineStr">
        <is>
          <t>2026/09/24</t>
        </is>
      </c>
      <c r="M53" s="109" t="n">
        <v>13400</v>
      </c>
      <c r="N53" s="110">
        <f t="array" ref="N53">M53-K53</f>
        <v/>
      </c>
      <c r="O53" s="37" t="inlineStr">
        <is>
          <t>執秘:S Johnnie 電話:0961-350881 末碼:10016 (已附水單)</t>
        </is>
      </c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2026-09-24T13:49:08Z</dcterms:modified>
</cp:coreProperties>
</file>