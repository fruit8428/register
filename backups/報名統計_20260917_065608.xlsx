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各社報名資料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#,##0;#,##0"/>
    <numFmt numFmtId="165" formatCode="[$&quot;NT$&quot;]#,##0"/>
    <numFmt numFmtId="166" formatCode="[$&quot;NT$&quot;]#,##0&quot; &quot;;([$&quot;NT$&quot;]#,##0)"/>
    <numFmt numFmtId="167" formatCode="#,##0&quot; &quot;;&quot;-&quot;#,##0&quot; &quot;"/>
    <numFmt numFmtId="168" formatCode="0.0%"/>
  </numFmts>
  <fonts count="12">
    <font>
      <name val="新細明體"/>
      <color indexed="8"/>
      <sz val="12"/>
    </font>
    <font>
      <name val="新細明體"/>
      <color indexed="8"/>
      <sz val="16"/>
    </font>
    <font>
      <name val="Helvetica Neue"/>
      <color indexed="8"/>
      <sz val="12"/>
    </font>
    <font>
      <name val="Calibri"/>
      <color indexed="8"/>
      <sz val="15"/>
    </font>
    <font>
      <name val="標楷體-繁"/>
      <color indexed="8"/>
      <sz val="13"/>
    </font>
    <font>
      <name val="標楷體-繁"/>
      <color indexed="8"/>
      <sz val="14"/>
    </font>
    <font>
      <name val="Times New Roman"/>
      <color indexed="8"/>
      <sz val="13"/>
    </font>
    <font>
      <name val="Times New Roman"/>
      <color indexed="8"/>
      <sz val="12"/>
    </font>
    <font>
      <name val="細明體"/>
      <color indexed="8"/>
      <sz val="12"/>
    </font>
    <font>
      <name val="Times New Roman"/>
      <b val="1"/>
      <color indexed="8"/>
      <sz val="13"/>
    </font>
    <font>
      <name val="Microsoft JhengHei"/>
      <b val="1"/>
      <color indexed="8"/>
      <sz val="13"/>
    </font>
    <font>
      <name val="Microsoft JhengHei"/>
      <color indexed="8"/>
      <sz val="13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right" vertical="center"/>
    </xf>
    <xf numFmtId="0" fontId="0" fillId="4" borderId="5" applyAlignment="1" pivotButton="0" quotePrefix="0" xfId="0">
      <alignment vertical="center"/>
    </xf>
    <xf numFmtId="165" fontId="6" fillId="3" borderId="5" applyAlignment="1" pivotButton="0" quotePrefix="0" xfId="0">
      <alignment horizontal="right" vertical="center"/>
    </xf>
    <xf numFmtId="56" fontId="6" fillId="4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49" fontId="6" fillId="3" borderId="7" applyAlignment="1" pivotButton="0" quotePrefix="0" xfId="0">
      <alignment horizontal="center" vertical="center" wrapText="1"/>
    </xf>
    <xf numFmtId="49" fontId="6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/>
    </xf>
    <xf numFmtId="164" fontId="6" fillId="3" borderId="8" applyAlignment="1" pivotButton="0" quotePrefix="0" xfId="0">
      <alignment horizontal="right" vertical="center"/>
    </xf>
    <xf numFmtId="0" fontId="0" fillId="4" borderId="8" applyAlignment="1" pivotButton="0" quotePrefix="0" xfId="0">
      <alignment vertical="center"/>
    </xf>
    <xf numFmtId="165" fontId="6" fillId="3" borderId="8" applyAlignment="1" pivotButton="0" quotePrefix="0" xfId="0">
      <alignment horizontal="right" vertical="center"/>
    </xf>
    <xf numFmtId="56" fontId="6" fillId="4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49" fontId="6" fillId="3" borderId="1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56" fontId="6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56" fontId="6" fillId="4" borderId="5" applyAlignment="1" pivotButton="0" quotePrefix="0" xfId="0">
      <alignment horizontal="right" vertical="center" wrapText="1"/>
    </xf>
    <xf numFmtId="56" fontId="6" fillId="4" borderId="8" applyAlignment="1" pivotButton="0" quotePrefix="0" xfId="0">
      <alignment horizontal="right" vertical="center" wrapText="1"/>
    </xf>
    <xf numFmtId="0" fontId="7" fillId="4" borderId="9" applyAlignment="1" pivotButton="0" quotePrefix="0" xfId="0">
      <alignment horizontal="left" vertical="center"/>
    </xf>
    <xf numFmtId="49" fontId="0" fillId="4" borderId="6" applyAlignment="1" pivotButton="0" quotePrefix="0" xfId="0">
      <alignment vertical="center"/>
    </xf>
    <xf numFmtId="0" fontId="8" fillId="4" borderId="6" applyAlignment="1" pivotButton="0" quotePrefix="0" xfId="0">
      <alignment vertical="center" wrapText="1"/>
    </xf>
    <xf numFmtId="49" fontId="4" fillId="3" borderId="2" applyAlignment="1" pivotButton="0" quotePrefix="0" xfId="0">
      <alignment horizontal="left" vertical="center"/>
    </xf>
    <xf numFmtId="56" fontId="6" fillId="4" borderId="2" applyAlignment="1" pivotButton="0" quotePrefix="0" xfId="0">
      <alignment horizontal="right" vertical="center" wrapText="1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49" fontId="6" fillId="3" borderId="10" applyAlignment="1" pivotButton="0" quotePrefix="0" xfId="0">
      <alignment horizontal="center" vertical="center" wrapText="1"/>
    </xf>
    <xf numFmtId="49" fontId="6" fillId="3" borderId="11" applyAlignment="1" pivotButton="0" quotePrefix="0" xfId="0">
      <alignment horizontal="center" vertical="center" wrapText="1"/>
    </xf>
    <xf numFmtId="49" fontId="4" fillId="3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center" vertical="center"/>
    </xf>
    <xf numFmtId="164" fontId="6" fillId="3" borderId="11" applyAlignment="1" pivotButton="0" quotePrefix="0" xfId="0">
      <alignment horizontal="right" vertical="center"/>
    </xf>
    <xf numFmtId="0" fontId="0" fillId="4" borderId="11" applyAlignment="1" pivotButton="0" quotePrefix="0" xfId="0">
      <alignment vertical="center"/>
    </xf>
    <xf numFmtId="165" fontId="6" fillId="3" borderId="11" applyAlignment="1" pivotButton="0" quotePrefix="0" xfId="0">
      <alignment horizontal="right" vertical="center"/>
    </xf>
    <xf numFmtId="56" fontId="6" fillId="4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49" fontId="6" fillId="3" borderId="13" applyAlignment="1" pivotButton="0" quotePrefix="0" xfId="0">
      <alignment horizontal="center" vertical="center" wrapText="1"/>
    </xf>
    <xf numFmtId="168" fontId="0" fillId="3" borderId="14" applyAlignment="1" pivotButton="0" quotePrefix="0" xfId="0">
      <alignment vertical="center"/>
    </xf>
    <xf numFmtId="49" fontId="4" fillId="3" borderId="14" applyAlignment="1" pivotButton="0" quotePrefix="0" xfId="0">
      <alignment horizontal="right" vertical="center" wrapText="1"/>
    </xf>
    <xf numFmtId="0" fontId="9" fillId="3" borderId="14" applyAlignment="1" pivotButton="0" quotePrefix="0" xfId="0">
      <alignment horizontal="right" vertical="center"/>
    </xf>
    <xf numFmtId="168" fontId="6" fillId="3" borderId="14" applyAlignment="1" pivotButton="0" quotePrefix="0" xfId="0">
      <alignment horizontal="right" vertical="center"/>
    </xf>
    <xf numFmtId="3" fontId="9" fillId="3" borderId="14" applyAlignment="1" pivotButton="0" quotePrefix="0" xfId="0">
      <alignment horizontal="center" vertical="center"/>
    </xf>
    <xf numFmtId="165" fontId="9" fillId="3" borderId="14" applyAlignment="1" pivotButton="0" quotePrefix="0" xfId="0">
      <alignment horizontal="right" vertical="center"/>
    </xf>
    <xf numFmtId="56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0" fontId="0" fillId="3" borderId="15" applyAlignment="1" pivotButton="0" quotePrefix="0" xfId="0">
      <alignment vertical="center"/>
    </xf>
    <xf numFmtId="49" fontId="9" fillId="3" borderId="16" applyAlignment="1" pivotButton="0" quotePrefix="0" xfId="0">
      <alignment horizontal="center" vertical="center" wrapText="1"/>
    </xf>
    <xf numFmtId="168" fontId="0" fillId="3" borderId="17" applyAlignment="1" pivotButton="0" quotePrefix="0" xfId="0">
      <alignment vertical="center"/>
    </xf>
    <xf numFmtId="49" fontId="4" fillId="3" borderId="17" applyAlignment="1" pivotButton="0" quotePrefix="0" xfId="0">
      <alignment horizontal="right" vertical="center" wrapText="1"/>
    </xf>
    <xf numFmtId="0" fontId="9" fillId="3" borderId="17" applyAlignment="1" pivotButton="0" quotePrefix="0" xfId="0">
      <alignment horizontal="right" vertical="center"/>
    </xf>
    <xf numFmtId="168" fontId="6" fillId="3" borderId="17" applyAlignment="1" pivotButton="0" quotePrefix="0" xfId="0">
      <alignment horizontal="right" vertical="center"/>
    </xf>
    <xf numFmtId="3" fontId="10" fillId="3" borderId="17" applyAlignment="1" pivotButton="0" quotePrefix="0" xfId="0">
      <alignment horizontal="center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56" fontId="9" fillId="3" borderId="17" applyAlignment="1" pivotButton="0" quotePrefix="0" xfId="0">
      <alignment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49" fontId="9" fillId="3" borderId="10" applyAlignment="1" pivotButton="0" quotePrefix="0" xfId="0">
      <alignment horizontal="center" vertical="center" wrapText="1"/>
    </xf>
    <xf numFmtId="168" fontId="0" fillId="3" borderId="11" applyAlignment="1" pivotButton="0" quotePrefix="0" xfId="0">
      <alignment vertical="center"/>
    </xf>
    <xf numFmtId="49" fontId="4" fillId="3" borderId="11" applyAlignment="1" pivotButton="0" quotePrefix="0" xfId="0">
      <alignment horizontal="right" vertical="center" wrapText="1"/>
    </xf>
    <xf numFmtId="0" fontId="9" fillId="3" borderId="11" applyAlignment="1" pivotButton="0" quotePrefix="0" xfId="0">
      <alignment horizontal="right" vertical="center"/>
    </xf>
    <xf numFmtId="168" fontId="6" fillId="3" borderId="11" applyAlignment="1" pivotButton="0" quotePrefix="0" xfId="0">
      <alignment horizontal="right" vertical="center"/>
    </xf>
    <xf numFmtId="3" fontId="10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56" fontId="9" fillId="3" borderId="11" applyAlignment="1" pivotButton="0" quotePrefix="0" xfId="0">
      <alignment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11" fillId="4" borderId="19" applyAlignment="1" pivotButton="0" quotePrefix="0" xfId="0">
      <alignment horizontal="center" vertical="center"/>
    </xf>
    <xf numFmtId="165" fontId="0" fillId="4" borderId="19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165" fontId="0" fillId="4" borderId="20" applyAlignment="1" pivotButton="0" quotePrefix="0" xfId="0">
      <alignment vertical="center"/>
    </xf>
    <xf numFmtId="0" fontId="0" fillId="0" borderId="0" pivotButton="0" quotePrefix="0" xfId="0"/>
    <xf numFmtId="164" fontId="6" fillId="3" borderId="5" applyAlignment="1" pivotButton="0" quotePrefix="0" xfId="0">
      <alignment horizontal="right" vertical="center"/>
    </xf>
    <xf numFmtId="165" fontId="6" fillId="3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164" fontId="6" fillId="3" borderId="8" applyAlignment="1" pivotButton="0" quotePrefix="0" xfId="0">
      <alignment horizontal="right" vertical="center"/>
    </xf>
    <xf numFmtId="165" fontId="6" fillId="3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4" fontId="6" fillId="3" borderId="11" applyAlignment="1" pivotButton="0" quotePrefix="0" xfId="0">
      <alignment horizontal="right" vertical="center"/>
    </xf>
    <xf numFmtId="165" fontId="6" fillId="3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168" fontId="0" fillId="3" borderId="14" applyAlignment="1" pivotButton="0" quotePrefix="0" xfId="0">
      <alignment vertical="center"/>
    </xf>
    <xf numFmtId="168" fontId="6" fillId="3" borderId="14" applyAlignment="1" pivotButton="0" quotePrefix="0" xfId="0">
      <alignment horizontal="right" vertical="center"/>
    </xf>
    <xf numFmtId="165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168" fontId="0" fillId="3" borderId="17" applyAlignment="1" pivotButton="0" quotePrefix="0" xfId="0">
      <alignment vertical="center"/>
    </xf>
    <xf numFmtId="168" fontId="6" fillId="3" borderId="17" applyAlignment="1" pivotButton="0" quotePrefix="0" xfId="0">
      <alignment horizontal="right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168" fontId="0" fillId="3" borderId="11" applyAlignment="1" pivotButton="0" quotePrefix="0" xfId="0">
      <alignment vertical="center"/>
    </xf>
    <xf numFmtId="168" fontId="6" fillId="3" borderId="11" applyAlignment="1" pivotButton="0" quotePrefix="0" xfId="0">
      <alignment horizontal="right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165" fontId="0" fillId="4" borderId="19" applyAlignment="1" pivotButton="0" quotePrefix="0" xfId="0">
      <alignment vertical="center"/>
    </xf>
    <xf numFmtId="165" fontId="0" fillId="4" borderId="20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defaultGridColor="1" workbookViewId="0">
      <selection activeCell="A1" sqref="A1"/>
    </sheetView>
  </sheetViews>
  <sheetFormatPr baseColWidth="8" defaultColWidth="9" defaultRowHeight="17.25" customHeight="1" outlineLevelRow="0"/>
  <cols>
    <col width="6.67188" customWidth="1" style="1" min="1" max="2"/>
    <col width="22.6719" customWidth="1" style="1" min="3" max="3"/>
    <col width="22.3906" customWidth="1" style="1" min="4" max="4"/>
    <col width="12.6719" customWidth="1" style="1" min="5" max="6"/>
    <col width="10.6719" customWidth="1" style="1" min="7" max="7"/>
    <col width="12.6719" customWidth="1" style="1" min="8" max="10"/>
    <col width="13.3516" customWidth="1" style="1" min="11" max="12"/>
    <col width="16" customWidth="1" style="1" min="13" max="13"/>
    <col width="12.6719" customWidth="1" style="1" min="14" max="14"/>
    <col width="9" customWidth="1" style="1" min="15" max="15"/>
    <col width="9" customWidth="1" style="1" min="16" max="16384"/>
  </cols>
  <sheetData>
    <row r="1" ht="24.95" customHeight="1" s="98">
      <c r="A1" s="2" t="inlineStr">
        <is>
          <t>分區</t>
        </is>
      </c>
      <c r="B1" s="3" t="inlineStr">
        <is>
          <t>編號</t>
        </is>
      </c>
      <c r="C1" s="3" t="inlineStr">
        <is>
          <t>社名</t>
        </is>
      </c>
      <c r="D1" s="3" t="inlineStr">
        <is>
          <t>共同主辦社10,000</t>
        </is>
      </c>
      <c r="E1" s="3" t="inlineStr">
        <is>
          <t>協辦社5,000</t>
        </is>
      </c>
      <c r="F1" s="3" t="inlineStr">
        <is>
          <t>贊助社3,000</t>
        </is>
      </c>
      <c r="G1" s="3" t="inlineStr">
        <is>
          <t>參賽人數</t>
        </is>
      </c>
      <c r="H1" s="3" t="inlineStr">
        <is>
          <t>報名費用</t>
        </is>
      </c>
      <c r="I1" s="3" t="inlineStr">
        <is>
          <t>僅用餐人數</t>
        </is>
      </c>
      <c r="J1" s="3" t="inlineStr">
        <is>
          <t>僅用餐費</t>
        </is>
      </c>
      <c r="K1" s="3" t="inlineStr">
        <is>
          <t>應收款項</t>
        </is>
      </c>
      <c r="L1" s="3" t="inlineStr">
        <is>
          <t>匯款日期</t>
        </is>
      </c>
      <c r="M1" s="3" t="inlineStr">
        <is>
          <t>收款金額</t>
        </is>
      </c>
      <c r="N1" s="3" t="inlineStr">
        <is>
          <t>未收金額</t>
        </is>
      </c>
      <c r="O1" s="4" t="inlineStr">
        <is>
          <t>備註</t>
        </is>
      </c>
    </row>
    <row r="2" ht="18.4" customHeight="1" s="98">
      <c r="A2" s="5" t="inlineStr">
        <is>
          <t>1</t>
        </is>
      </c>
      <c r="B2" s="6" t="inlineStr">
        <is>
          <t>01-1</t>
        </is>
      </c>
      <c r="C2" s="7" t="inlineStr">
        <is>
          <t>臺北市南區扶輪社</t>
        </is>
      </c>
      <c r="D2" s="8" t="inlineStr">
        <is>
          <t>協辦社</t>
        </is>
      </c>
      <c r="E2" s="99">
        <f t="array" ref="E2">IF(D2="主辦社",10000,IF(D2="協辦社",5000,IF(D2="贊助社",3000,0)))</f>
        <v/>
      </c>
      <c r="F2" s="99" t="n"/>
      <c r="G2" s="10" t="n">
        <v>4</v>
      </c>
      <c r="H2" s="100">
        <f>G2*1200</f>
        <v/>
      </c>
      <c r="I2" s="10" t="n">
        <v>4</v>
      </c>
      <c r="J2" s="100">
        <f t="array" ref="J2">I2*1000</f>
        <v/>
      </c>
      <c r="K2" s="100">
        <f t="array" ref="K2">J2+H2+E2</f>
        <v/>
      </c>
      <c r="L2" s="12" t="n"/>
      <c r="M2" s="101" t="n"/>
      <c r="N2" s="102">
        <f t="array" ref="N2">M2-K2</f>
        <v/>
      </c>
      <c r="O2" s="15" t="inlineStr">
        <is>
          <t>模擬報名寫入</t>
        </is>
      </c>
    </row>
    <row r="3" ht="18.4" customHeight="1" s="98">
      <c r="A3" s="5" t="inlineStr">
        <is>
          <t>1</t>
        </is>
      </c>
      <c r="B3" s="6" t="inlineStr">
        <is>
          <t>01-2</t>
        </is>
      </c>
      <c r="C3" s="7" t="inlineStr">
        <is>
          <t>台北逸仙扶輪社</t>
        </is>
      </c>
      <c r="D3" s="8" t="n"/>
      <c r="E3" s="99">
        <f t="array" ref="E3">IF(D3="主辦社",10000,IF(D3="協辦社",5000,IF(D3="贊助社",3000,0)))</f>
        <v/>
      </c>
      <c r="F3" s="99" t="n"/>
      <c r="G3" s="10" t="n"/>
      <c r="H3" s="100">
        <f>G3*1200</f>
        <v/>
      </c>
      <c r="I3" s="10" t="n"/>
      <c r="J3" s="100">
        <f t="array" ref="J3">I3*1000</f>
        <v/>
      </c>
      <c r="K3" s="100">
        <f t="array" ref="K3">J3+H3+E3</f>
        <v/>
      </c>
      <c r="L3" s="12" t="n"/>
      <c r="M3" s="101" t="n"/>
      <c r="N3" s="102">
        <f t="array" ref="N3">M3-K3</f>
        <v/>
      </c>
      <c r="O3" s="15" t="n"/>
    </row>
    <row r="4" ht="18.4" customHeight="1" s="98">
      <c r="A4" s="5" t="inlineStr">
        <is>
          <t>1</t>
        </is>
      </c>
      <c r="B4" s="6" t="inlineStr">
        <is>
          <t>01-3</t>
        </is>
      </c>
      <c r="C4" s="7" t="inlineStr">
        <is>
          <t>台北逸天扶輪社</t>
        </is>
      </c>
      <c r="D4" s="8" t="n"/>
      <c r="E4" s="99">
        <f t="array" ref="E4">IF(D4="主辦社",10000,IF(D4="協辦社",5000,IF(D4="贊助社",3000,0)))</f>
        <v/>
      </c>
      <c r="F4" s="99" t="n"/>
      <c r="G4" s="10" t="n"/>
      <c r="H4" s="100">
        <f>G4*1200</f>
        <v/>
      </c>
      <c r="I4" s="10" t="n"/>
      <c r="J4" s="100">
        <f t="array" ref="J4">I4*1000</f>
        <v/>
      </c>
      <c r="K4" s="100">
        <f t="array" ref="K4">J4+H4+E4</f>
        <v/>
      </c>
      <c r="L4" s="12" t="n"/>
      <c r="M4" s="101" t="n"/>
      <c r="N4" s="102">
        <f t="array" ref="N4">M4-K4</f>
        <v/>
      </c>
      <c r="O4" s="15" t="n"/>
    </row>
    <row r="5" ht="18.4" customHeight="1" s="98">
      <c r="A5" s="5" t="inlineStr">
        <is>
          <t>1</t>
        </is>
      </c>
      <c r="B5" s="6" t="inlineStr">
        <is>
          <t>01-4</t>
        </is>
      </c>
      <c r="C5" s="7" t="inlineStr">
        <is>
          <t>台北市雲聯網扶輪社</t>
        </is>
      </c>
      <c r="D5" s="8" t="n"/>
      <c r="E5" s="99">
        <f t="array" ref="E5">IF(D5="主辦社",10000,IF(D5="協辦社",5000,IF(D5="贊助社",3000,0)))</f>
        <v/>
      </c>
      <c r="F5" s="99" t="n"/>
      <c r="G5" s="10" t="n"/>
      <c r="H5" s="100">
        <f>G5*1200</f>
        <v/>
      </c>
      <c r="I5" s="10" t="n"/>
      <c r="J5" s="100">
        <f t="array" ref="J5">I5*1000</f>
        <v/>
      </c>
      <c r="K5" s="100">
        <f t="array" ref="K5">J5+H5+E5</f>
        <v/>
      </c>
      <c r="L5" s="12" t="n"/>
      <c r="M5" s="101" t="n"/>
      <c r="N5" s="102">
        <f t="array" ref="N5">M5-K5</f>
        <v/>
      </c>
      <c r="O5" s="15" t="n"/>
    </row>
    <row r="6" ht="18.4" customHeight="1" s="98">
      <c r="A6" s="5" t="inlineStr">
        <is>
          <t>1</t>
        </is>
      </c>
      <c r="B6" s="6" t="inlineStr">
        <is>
          <t>01-5</t>
        </is>
      </c>
      <c r="C6" s="7" t="inlineStr">
        <is>
          <t>台北逸澤扶輪社</t>
        </is>
      </c>
      <c r="D6" s="8" t="n"/>
      <c r="E6" s="99">
        <f t="array" ref="E6">IF(D6="主辦社",10000,IF(D6="協辦社",5000,IF(D6="贊助社",3000,0)))</f>
        <v/>
      </c>
      <c r="F6" s="99" t="n"/>
      <c r="G6" s="10" t="n"/>
      <c r="H6" s="100">
        <f>G6*1200</f>
        <v/>
      </c>
      <c r="I6" s="10" t="n"/>
      <c r="J6" s="100">
        <f t="array" ref="J6">I6*1000</f>
        <v/>
      </c>
      <c r="K6" s="100">
        <f t="array" ref="K6">J6+H6+E6</f>
        <v/>
      </c>
      <c r="L6" s="12" t="n"/>
      <c r="M6" s="101" t="n"/>
      <c r="N6" s="102">
        <f t="array" ref="N6">M6-K6</f>
        <v/>
      </c>
      <c r="O6" s="15" t="n"/>
    </row>
    <row r="7" ht="18.4" customHeight="1" s="98">
      <c r="A7" s="5" t="inlineStr">
        <is>
          <t>1</t>
        </is>
      </c>
      <c r="B7" s="6" t="inlineStr">
        <is>
          <t>01-6</t>
        </is>
      </c>
      <c r="C7" s="7" t="inlineStr">
        <is>
          <t>臺北黃埔扶輪社</t>
        </is>
      </c>
      <c r="D7" s="8" t="n"/>
      <c r="E7" s="99">
        <f t="array" ref="E7">IF(D7="主辦社",10000,IF(D7="協辦社",5000,IF(D7="贊助社",3000,0)))</f>
        <v/>
      </c>
      <c r="F7" s="99" t="n"/>
      <c r="G7" s="10" t="n"/>
      <c r="H7" s="100">
        <f>G7*1200</f>
        <v/>
      </c>
      <c r="I7" s="10" t="n"/>
      <c r="J7" s="100">
        <f t="array" ref="J7">I7*1000</f>
        <v/>
      </c>
      <c r="K7" s="100">
        <f t="array" ref="K7">J7+H7+E7</f>
        <v/>
      </c>
      <c r="L7" s="12" t="n"/>
      <c r="M7" s="101" t="n"/>
      <c r="N7" s="102">
        <f t="array" ref="N7">M7-K7</f>
        <v/>
      </c>
      <c r="O7" s="15" t="n"/>
    </row>
    <row r="8" ht="18.4" customHeight="1" s="98">
      <c r="A8" s="5" t="inlineStr">
        <is>
          <t>1</t>
        </is>
      </c>
      <c r="B8" s="6" t="inlineStr">
        <is>
          <t>01-7</t>
        </is>
      </c>
      <c r="C8" s="7" t="inlineStr">
        <is>
          <t>台北逸新扶輪社</t>
        </is>
      </c>
      <c r="D8" s="8" t="n"/>
      <c r="E8" s="99">
        <f t="array" ref="E8">IF(D8="主辦社",10000,IF(D8="協辦社",5000,IF(D8="贊助社",3000,0)))</f>
        <v/>
      </c>
      <c r="F8" s="99" t="n"/>
      <c r="G8" s="10" t="n"/>
      <c r="H8" s="100">
        <f>G8*1200</f>
        <v/>
      </c>
      <c r="I8" s="10" t="n"/>
      <c r="J8" s="100">
        <f t="array" ref="J8">I8*1000</f>
        <v/>
      </c>
      <c r="K8" s="100">
        <f t="array" ref="K8">J8+H8+E8</f>
        <v/>
      </c>
      <c r="L8" s="12" t="n"/>
      <c r="M8" s="101" t="n"/>
      <c r="N8" s="102">
        <f t="array" ref="N8">M8-K8</f>
        <v/>
      </c>
      <c r="O8" s="15" t="n"/>
    </row>
    <row r="9" ht="18.4" customHeight="1" s="98">
      <c r="A9" s="5" t="inlineStr">
        <is>
          <t>1</t>
        </is>
      </c>
      <c r="B9" s="6" t="inlineStr">
        <is>
          <t>01-8</t>
        </is>
      </c>
      <c r="C9" s="7" t="inlineStr">
        <is>
          <t>台北蘭亭鐵馬扶輪社</t>
        </is>
      </c>
      <c r="D9" s="8" t="n"/>
      <c r="E9" s="99">
        <f t="array" ref="E9">IF(D9="主辦社",10000,IF(D9="協辦社",5000,IF(D9="贊助社",3000,0)))</f>
        <v/>
      </c>
      <c r="F9" s="99" t="n"/>
      <c r="G9" s="10" t="n"/>
      <c r="H9" s="100">
        <f>G9*1200</f>
        <v/>
      </c>
      <c r="I9" s="10" t="n"/>
      <c r="J9" s="100">
        <f t="array" ref="J9">I9*1000</f>
        <v/>
      </c>
      <c r="K9" s="100">
        <f t="array" ref="K9">J9+H9+E9</f>
        <v/>
      </c>
      <c r="L9" s="12" t="n"/>
      <c r="M9" s="101" t="n"/>
      <c r="N9" s="102">
        <f t="array" ref="N9">M9-K9</f>
        <v/>
      </c>
      <c r="O9" s="15" t="n"/>
    </row>
    <row r="10" ht="18.4" customHeight="1" s="98">
      <c r="A10" s="16" t="inlineStr">
        <is>
          <t>1</t>
        </is>
      </c>
      <c r="B10" s="17" t="inlineStr">
        <is>
          <t>01-9</t>
        </is>
      </c>
      <c r="C10" s="18" t="inlineStr">
        <is>
          <t>台北銀河扶輪社</t>
        </is>
      </c>
      <c r="D10" s="19" t="n"/>
      <c r="E10" s="103">
        <f t="array" ref="E10">IF(D10="主辦社",10000,IF(D10="協辦社",5000,IF(D10="贊助社",3000,0)))</f>
        <v/>
      </c>
      <c r="F10" s="103" t="n"/>
      <c r="G10" s="21" t="n"/>
      <c r="H10" s="104">
        <f>G10*1200</f>
        <v/>
      </c>
      <c r="I10" s="21" t="n"/>
      <c r="J10" s="104">
        <f t="array" ref="J10">I10*1000</f>
        <v/>
      </c>
      <c r="K10" s="104">
        <f t="array" ref="K10">J10+H10+E10</f>
        <v/>
      </c>
      <c r="L10" s="23" t="n"/>
      <c r="M10" s="105" t="n"/>
      <c r="N10" s="106">
        <f t="array" ref="N10">M10-K10</f>
        <v/>
      </c>
      <c r="O10" s="26" t="n"/>
    </row>
    <row r="11" ht="18.4" customHeight="1" s="98">
      <c r="A11" s="27" t="inlineStr">
        <is>
          <t>2</t>
        </is>
      </c>
      <c r="B11" s="28" t="inlineStr">
        <is>
          <t>02-1</t>
        </is>
      </c>
      <c r="C11" s="29" t="inlineStr">
        <is>
          <t>台北市西南區扶輪社</t>
        </is>
      </c>
      <c r="D11" s="30" t="n"/>
      <c r="E11" s="107">
        <f t="array" ref="E11">IF(D11="主辦社",10000,IF(D11="協辦社",5000,IF(D11="贊助社",3000,0)))</f>
        <v/>
      </c>
      <c r="F11" s="107" t="n"/>
      <c r="G11" s="32" t="n"/>
      <c r="H11" s="108">
        <f>G11*1200</f>
        <v/>
      </c>
      <c r="I11" s="32" t="n"/>
      <c r="J11" s="108">
        <f t="array" ref="J11">I11*1000</f>
        <v/>
      </c>
      <c r="K11" s="108">
        <f t="array" ref="K11">J11+H11+E11</f>
        <v/>
      </c>
      <c r="L11" s="34" t="n"/>
      <c r="M11" s="109" t="n"/>
      <c r="N11" s="110">
        <f t="array" ref="N11">M11-K11</f>
        <v/>
      </c>
      <c r="O11" s="37" t="n"/>
    </row>
    <row r="12" ht="18.4" customHeight="1" s="98">
      <c r="A12" s="5" t="inlineStr">
        <is>
          <t>2</t>
        </is>
      </c>
      <c r="B12" s="6" t="inlineStr">
        <is>
          <t>02-2</t>
        </is>
      </c>
      <c r="C12" s="7" t="inlineStr">
        <is>
          <t>台北健康扶輪社</t>
        </is>
      </c>
      <c r="D12" s="8" t="n"/>
      <c r="E12" s="99">
        <f t="array" ref="E12">IF(D12="主辦社",10000,IF(D12="協辦社",5000,IF(D12="贊助社",3000,0)))</f>
        <v/>
      </c>
      <c r="F12" s="99" t="n"/>
      <c r="G12" s="10" t="n"/>
      <c r="H12" s="100">
        <f>G12*1200</f>
        <v/>
      </c>
      <c r="I12" s="10" t="n"/>
      <c r="J12" s="100">
        <f t="array" ref="J12">I12*1000</f>
        <v/>
      </c>
      <c r="K12" s="100">
        <f t="array" ref="K12">J12+H12+E12</f>
        <v/>
      </c>
      <c r="L12" s="12" t="n"/>
      <c r="M12" s="101" t="n"/>
      <c r="N12" s="102">
        <f t="array" ref="N12">M12-K12</f>
        <v/>
      </c>
      <c r="O12" s="15" t="n"/>
    </row>
    <row r="13" ht="18.4" customHeight="1" s="98">
      <c r="A13" s="5" t="inlineStr">
        <is>
          <t>2</t>
        </is>
      </c>
      <c r="B13" s="6" t="inlineStr">
        <is>
          <t>02-3</t>
        </is>
      </c>
      <c r="C13" s="7" t="inlineStr">
        <is>
          <t>台北高峰扶輪社</t>
        </is>
      </c>
      <c r="D13" s="8" t="n"/>
      <c r="E13" s="99">
        <f t="array" ref="E13">IF(D13="主辦社",10000,IF(D13="協辦社",5000,IF(D13="贊助社",3000,0)))</f>
        <v/>
      </c>
      <c r="F13" s="99" t="n"/>
      <c r="G13" s="10" t="n"/>
      <c r="H13" s="100">
        <f>G13*1200</f>
        <v/>
      </c>
      <c r="I13" s="10" t="n"/>
      <c r="J13" s="100">
        <f t="array" ref="J13">I13*1000</f>
        <v/>
      </c>
      <c r="K13" s="100">
        <f t="array" ref="K13">J13+H13+E13</f>
        <v/>
      </c>
      <c r="L13" s="12" t="n"/>
      <c r="M13" s="101" t="n"/>
      <c r="N13" s="102">
        <f t="array" ref="N13">M13-K13</f>
        <v/>
      </c>
      <c r="O13" s="15" t="n"/>
    </row>
    <row r="14" ht="18.4" customHeight="1" s="98">
      <c r="A14" s="5" t="inlineStr">
        <is>
          <t>2</t>
        </is>
      </c>
      <c r="B14" s="6" t="inlineStr">
        <is>
          <t>02-4</t>
        </is>
      </c>
      <c r="C14" s="7" t="inlineStr">
        <is>
          <t>台北永康扶輪社</t>
        </is>
      </c>
      <c r="D14" s="8" t="n"/>
      <c r="E14" s="99">
        <f t="array" ref="E14">IF(D14="主辦社",10000,IF(D14="協辦社",5000,IF(D14="贊助社",3000,0)))</f>
        <v/>
      </c>
      <c r="F14" s="99" t="n"/>
      <c r="G14" s="10" t="n"/>
      <c r="H14" s="100">
        <f>G14*1200</f>
        <v/>
      </c>
      <c r="I14" s="10" t="n"/>
      <c r="J14" s="100">
        <f t="array" ref="J14">I14*1000</f>
        <v/>
      </c>
      <c r="K14" s="100">
        <f t="array" ref="K14">J14+H14+E14</f>
        <v/>
      </c>
      <c r="L14" s="12" t="n"/>
      <c r="M14" s="101" t="n"/>
      <c r="N14" s="102">
        <f t="array" ref="N14">M14-K14</f>
        <v/>
      </c>
      <c r="O14" s="15" t="n"/>
    </row>
    <row r="15" ht="18.4" customHeight="1" s="98">
      <c r="A15" s="16" t="inlineStr">
        <is>
          <t>2</t>
        </is>
      </c>
      <c r="B15" s="17" t="inlineStr">
        <is>
          <t>02-5</t>
        </is>
      </c>
      <c r="C15" s="18" t="inlineStr">
        <is>
          <t>台北市南山扶輪社</t>
        </is>
      </c>
      <c r="D15" s="19" t="n"/>
      <c r="E15" s="103">
        <f t="array" ref="E15">IF(D15="主辦社",10000,IF(D15="協辦社",5000,IF(D15="贊助社",3000,0)))</f>
        <v/>
      </c>
      <c r="F15" s="103" t="n"/>
      <c r="G15" s="21" t="n"/>
      <c r="H15" s="104">
        <f>G15*1200</f>
        <v/>
      </c>
      <c r="I15" s="21" t="n"/>
      <c r="J15" s="104">
        <f t="array" ref="J15">I15*1000</f>
        <v/>
      </c>
      <c r="K15" s="104">
        <f t="array" ref="K15">J15+H15+E15</f>
        <v/>
      </c>
      <c r="L15" s="23" t="n"/>
      <c r="M15" s="105" t="n"/>
      <c r="N15" s="106">
        <f t="array" ref="N15">M15-K15</f>
        <v/>
      </c>
      <c r="O15" s="26" t="n"/>
    </row>
    <row r="16" ht="18.4" customHeight="1" s="98">
      <c r="A16" s="27" t="inlineStr">
        <is>
          <t>3</t>
        </is>
      </c>
      <c r="B16" s="28" t="inlineStr">
        <is>
          <t>03-1</t>
        </is>
      </c>
      <c r="C16" s="29" t="inlineStr">
        <is>
          <t>台北市華南扶輪社</t>
        </is>
      </c>
      <c r="D16" s="30" t="n"/>
      <c r="E16" s="107">
        <f t="array" ref="E16">IF(D16="主辦社",10000,IF(D16="協辦社",5000,IF(D16="贊助社",3000,0)))</f>
        <v/>
      </c>
      <c r="F16" s="107" t="n"/>
      <c r="G16" s="32" t="n"/>
      <c r="H16" s="108">
        <f>G16*1200</f>
        <v/>
      </c>
      <c r="I16" s="32" t="n"/>
      <c r="J16" s="108">
        <f t="array" ref="J16">I16*1000</f>
        <v/>
      </c>
      <c r="K16" s="108">
        <f t="array" ref="K16">J16+H16+E16</f>
        <v/>
      </c>
      <c r="L16" s="34" t="n"/>
      <c r="M16" s="109" t="n"/>
      <c r="N16" s="110">
        <f t="array" ref="N16">M16-K16</f>
        <v/>
      </c>
      <c r="O16" s="37" t="n"/>
    </row>
    <row r="17" ht="18.4" customHeight="1" s="98">
      <c r="A17" s="5" t="inlineStr">
        <is>
          <t>3</t>
        </is>
      </c>
      <c r="B17" s="6" t="inlineStr">
        <is>
          <t>03-2</t>
        </is>
      </c>
      <c r="C17" s="7" t="inlineStr">
        <is>
          <t>台北市華陽扶輪社</t>
        </is>
      </c>
      <c r="D17" s="8" t="n"/>
      <c r="E17" s="99">
        <f t="array" ref="E17">IF(D17="主辦社",10000,IF(D17="協辦社",5000,IF(D17="贊助社",3000,0)))</f>
        <v/>
      </c>
      <c r="F17" s="99" t="n"/>
      <c r="G17" s="10" t="n"/>
      <c r="H17" s="100">
        <f>G17*1200</f>
        <v/>
      </c>
      <c r="I17" s="10" t="n"/>
      <c r="J17" s="100">
        <f t="array" ref="J17">I17*1000</f>
        <v/>
      </c>
      <c r="K17" s="100">
        <f t="array" ref="K17">J17+H17+E17</f>
        <v/>
      </c>
      <c r="L17" s="12" t="n"/>
      <c r="M17" s="101" t="n"/>
      <c r="N17" s="102">
        <f t="array" ref="N17">M17-K17</f>
        <v/>
      </c>
      <c r="O17" s="15" t="n"/>
    </row>
    <row r="18" ht="18.4" customHeight="1" s="98">
      <c r="A18" s="5" t="inlineStr">
        <is>
          <t>3</t>
        </is>
      </c>
      <c r="B18" s="6" t="inlineStr">
        <is>
          <t>03-3</t>
        </is>
      </c>
      <c r="C18" s="7" t="inlineStr">
        <is>
          <t>台北市瑞光扶輪社</t>
        </is>
      </c>
      <c r="D18" s="8" t="n"/>
      <c r="E18" s="99">
        <f t="array" ref="E18">IF(D18="主辦社",10000,IF(D18="協辦社",5000,IF(D18="贊助社",3000,0)))</f>
        <v/>
      </c>
      <c r="F18" s="99" t="n"/>
      <c r="G18" s="10" t="n"/>
      <c r="H18" s="100">
        <f>G18*1200</f>
        <v/>
      </c>
      <c r="I18" s="10" t="n"/>
      <c r="J18" s="100">
        <f t="array" ref="J18">I18*1000</f>
        <v/>
      </c>
      <c r="K18" s="100">
        <f t="array" ref="K18">J18+H18+E18</f>
        <v/>
      </c>
      <c r="L18" s="38" t="n"/>
      <c r="M18" s="101" t="n"/>
      <c r="N18" s="102">
        <f t="array" ref="N18">M18-K18</f>
        <v/>
      </c>
      <c r="O18" s="15" t="n"/>
    </row>
    <row r="19" ht="18.4" customHeight="1" s="98">
      <c r="A19" s="5" t="inlineStr">
        <is>
          <t>3</t>
        </is>
      </c>
      <c r="B19" s="6" t="inlineStr">
        <is>
          <t>03-4</t>
        </is>
      </c>
      <c r="C19" s="7" t="inlineStr">
        <is>
          <t>台北市華東扶輪社</t>
        </is>
      </c>
      <c r="D19" s="8" t="n"/>
      <c r="E19" s="99">
        <f t="array" ref="E19">IF(D19="主辦社",10000,IF(D19="協辦社",5000,IF(D19="贊助社",3000,0)))</f>
        <v/>
      </c>
      <c r="F19" s="99" t="n"/>
      <c r="G19" s="10" t="n"/>
      <c r="H19" s="100">
        <f>G19*1200</f>
        <v/>
      </c>
      <c r="I19" s="10" t="n"/>
      <c r="J19" s="100">
        <f t="array" ref="J19">I19*1000</f>
        <v/>
      </c>
      <c r="K19" s="100">
        <f t="array" ref="K19">J19+H19+E19</f>
        <v/>
      </c>
      <c r="L19" s="12" t="n"/>
      <c r="M19" s="101" t="n"/>
      <c r="N19" s="102">
        <f t="array" ref="N19">M19-K19</f>
        <v/>
      </c>
      <c r="O19" s="15" t="n"/>
    </row>
    <row r="20" ht="18.4" customHeight="1" s="98">
      <c r="A20" s="5" t="inlineStr">
        <is>
          <t>3</t>
        </is>
      </c>
      <c r="B20" s="6" t="inlineStr">
        <is>
          <t>03-5</t>
        </is>
      </c>
      <c r="C20" s="7" t="inlineStr">
        <is>
          <t>台北市永續扶輪社</t>
        </is>
      </c>
      <c r="D20" s="8" t="n"/>
      <c r="E20" s="99">
        <f t="array" ref="E20">IF(D20="主辦社",10000,IF(D20="協辦社",5000,IF(D20="贊助社",3000,0)))</f>
        <v/>
      </c>
      <c r="F20" s="99" t="n"/>
      <c r="G20" s="10" t="n"/>
      <c r="H20" s="100">
        <f>G20*1200</f>
        <v/>
      </c>
      <c r="I20" s="10" t="n"/>
      <c r="J20" s="100">
        <f t="array" ref="J20">I20*1000</f>
        <v/>
      </c>
      <c r="K20" s="100">
        <f t="array" ref="K20">J20+H20+E20</f>
        <v/>
      </c>
      <c r="L20" s="12" t="n"/>
      <c r="M20" s="101" t="n"/>
      <c r="N20" s="102">
        <f t="array" ref="N20">M20-K20</f>
        <v/>
      </c>
      <c r="O20" s="15" t="n"/>
    </row>
    <row r="21" ht="18.4" customHeight="1" s="98">
      <c r="A21" s="16" t="inlineStr">
        <is>
          <t>3</t>
        </is>
      </c>
      <c r="B21" s="17" t="inlineStr">
        <is>
          <t>03-6</t>
        </is>
      </c>
      <c r="C21" s="18" t="inlineStr">
        <is>
          <t>影響力扶輪社</t>
        </is>
      </c>
      <c r="D21" s="19" t="n"/>
      <c r="E21" s="103">
        <f t="array" ref="E21">IF(D21="主辦社",10000,IF(D21="協辦社",5000,IF(D21="贊助社",3000,0)))</f>
        <v/>
      </c>
      <c r="F21" s="103" t="n"/>
      <c r="G21" s="21" t="n"/>
      <c r="H21" s="104">
        <f>G21*1200</f>
        <v/>
      </c>
      <c r="I21" s="21" t="n"/>
      <c r="J21" s="104">
        <f t="array" ref="J21">I21*1000</f>
        <v/>
      </c>
      <c r="K21" s="104">
        <f t="array" ref="K21">J21+H21+E21</f>
        <v/>
      </c>
      <c r="L21" s="39" t="n"/>
      <c r="M21" s="105" t="n"/>
      <c r="N21" s="106">
        <f t="array" ref="N21">M21-K21</f>
        <v/>
      </c>
      <c r="O21" s="40" t="n"/>
    </row>
    <row r="22" ht="18.4" customHeight="1" s="98">
      <c r="A22" s="27" t="inlineStr">
        <is>
          <t>4</t>
        </is>
      </c>
      <c r="B22" s="28" t="inlineStr">
        <is>
          <t>04-1</t>
        </is>
      </c>
      <c r="C22" s="29" t="inlineStr">
        <is>
          <t>台北市南欣扶輪社</t>
        </is>
      </c>
      <c r="D22" s="30" t="n"/>
      <c r="E22" s="107">
        <f t="array" ref="E22">IF(D22="主辦社",10000,IF(D22="協辦社",5000,IF(D22="贊助社",3000,0)))</f>
        <v/>
      </c>
      <c r="F22" s="107" t="n"/>
      <c r="G22" s="32" t="n"/>
      <c r="H22" s="108">
        <f>G22*1200</f>
        <v/>
      </c>
      <c r="I22" s="32" t="n"/>
      <c r="J22" s="108">
        <f t="array" ref="J22">I22*1000</f>
        <v/>
      </c>
      <c r="K22" s="108">
        <f t="array" ref="K22">J22+H22+E22</f>
        <v/>
      </c>
      <c r="L22" s="34" t="n"/>
      <c r="M22" s="109" t="n"/>
      <c r="N22" s="110">
        <f t="array" ref="N22">M22-K22</f>
        <v/>
      </c>
      <c r="O22" s="37" t="n"/>
    </row>
    <row r="23" ht="18.4" customHeight="1" s="98">
      <c r="A23" s="5" t="inlineStr">
        <is>
          <t>4</t>
        </is>
      </c>
      <c r="B23" s="6" t="inlineStr">
        <is>
          <t>04-2</t>
        </is>
      </c>
      <c r="C23" s="7" t="inlineStr">
        <is>
          <t>台北松山扶輪社</t>
        </is>
      </c>
      <c r="D23" s="8" t="n"/>
      <c r="E23" s="99">
        <f t="array" ref="E23">IF(D23="主辦社",10000,IF(D23="協辦社",5000,IF(D23="贊助社",3000,0)))</f>
        <v/>
      </c>
      <c r="F23" s="99" t="n"/>
      <c r="G23" s="10" t="n"/>
      <c r="H23" s="100">
        <f>G23*1200</f>
        <v/>
      </c>
      <c r="I23" s="10" t="n"/>
      <c r="J23" s="100">
        <f t="array" ref="J23">I23*1000</f>
        <v/>
      </c>
      <c r="K23" s="100">
        <f t="array" ref="K23">J23+H23+E23</f>
        <v/>
      </c>
      <c r="L23" s="12" t="n"/>
      <c r="M23" s="101" t="n"/>
      <c r="N23" s="102">
        <f t="array" ref="N23">M23-K23</f>
        <v/>
      </c>
      <c r="O23" s="15" t="n"/>
    </row>
    <row r="24" ht="18.4" customHeight="1" s="98">
      <c r="A24" s="5" t="inlineStr">
        <is>
          <t>4</t>
        </is>
      </c>
      <c r="B24" s="6" t="inlineStr">
        <is>
          <t>04-3</t>
        </is>
      </c>
      <c r="C24" s="7" t="inlineStr">
        <is>
          <t>台北市民生扶輪社</t>
        </is>
      </c>
      <c r="D24" s="8" t="n"/>
      <c r="E24" s="99">
        <f t="array" ref="E24">IF(D24="主辦社",10000,IF(D24="協辦社",5000,IF(D24="贊助社",3000,0)))</f>
        <v/>
      </c>
      <c r="F24" s="99" t="n"/>
      <c r="G24" s="10" t="n"/>
      <c r="H24" s="100">
        <f>G24*1200</f>
        <v/>
      </c>
      <c r="I24" s="10" t="n"/>
      <c r="J24" s="100">
        <f t="array" ref="J24">I24*1000</f>
        <v/>
      </c>
      <c r="K24" s="100">
        <f t="array" ref="K24">J24+H24+E24</f>
        <v/>
      </c>
      <c r="L24" s="12" t="n"/>
      <c r="M24" s="101" t="n"/>
      <c r="N24" s="102">
        <f t="array" ref="N24">M24-K24</f>
        <v/>
      </c>
      <c r="O24" s="15" t="n"/>
    </row>
    <row r="25" ht="18.4" customHeight="1" s="98">
      <c r="A25" s="5" t="inlineStr">
        <is>
          <t>4</t>
        </is>
      </c>
      <c r="B25" s="6" t="inlineStr">
        <is>
          <t>04-4</t>
        </is>
      </c>
      <c r="C25" s="7" t="inlineStr">
        <is>
          <t>台北政愛扶輪社</t>
        </is>
      </c>
      <c r="D25" s="8" t="n"/>
      <c r="E25" s="99">
        <f t="array" ref="E25">IF(D25="主辦社",10000,IF(D25="協辦社",5000,IF(D25="贊助社",3000,0)))</f>
        <v/>
      </c>
      <c r="F25" s="99" t="n"/>
      <c r="G25" s="10" t="n"/>
      <c r="H25" s="100">
        <f>G25*1200</f>
        <v/>
      </c>
      <c r="I25" s="10" t="n"/>
      <c r="J25" s="100">
        <f t="array" ref="J25">I25*1000</f>
        <v/>
      </c>
      <c r="K25" s="100">
        <f t="array" ref="K25">J25+H25+E25</f>
        <v/>
      </c>
      <c r="L25" s="12" t="n"/>
      <c r="M25" s="101" t="n"/>
      <c r="N25" s="102">
        <f t="array" ref="N25">M25-K25</f>
        <v/>
      </c>
      <c r="O25" s="41" t="n"/>
    </row>
    <row r="26" ht="18.4" customHeight="1" s="98">
      <c r="A26" s="5" t="inlineStr">
        <is>
          <t>4</t>
        </is>
      </c>
      <c r="B26" s="6" t="inlineStr">
        <is>
          <t>04-5</t>
        </is>
      </c>
      <c r="C26" s="7" t="inlineStr">
        <is>
          <t>台北添愛扶輪社</t>
        </is>
      </c>
      <c r="D26" s="8" t="n"/>
      <c r="E26" s="99">
        <f t="array" ref="E26">IF(D26="主辦社",10000,IF(D26="協辦社",5000,IF(D26="贊助社",3000,0)))</f>
        <v/>
      </c>
      <c r="F26" s="99" t="n"/>
      <c r="G26" s="10" t="n"/>
      <c r="H26" s="100">
        <f>G26*1200</f>
        <v/>
      </c>
      <c r="I26" s="10" t="n"/>
      <c r="J26" s="100">
        <f t="array" ref="J26">I26*1000</f>
        <v/>
      </c>
      <c r="K26" s="100">
        <f t="array" ref="K26">J26+H26+E26</f>
        <v/>
      </c>
      <c r="L26" s="12" t="n"/>
      <c r="M26" s="101" t="n"/>
      <c r="N26" s="102">
        <f t="array" ref="N26">M26-K26</f>
        <v/>
      </c>
      <c r="O26" s="15" t="n"/>
    </row>
    <row r="27" ht="18.4" customHeight="1" s="98">
      <c r="A27" s="5" t="inlineStr">
        <is>
          <t>4</t>
        </is>
      </c>
      <c r="B27" s="6" t="inlineStr">
        <is>
          <t>04-6</t>
        </is>
      </c>
      <c r="C27" s="7" t="inlineStr">
        <is>
          <t>台北泰愛扶輪社</t>
        </is>
      </c>
      <c r="D27" s="8" t="n"/>
      <c r="E27" s="99">
        <f t="array" ref="E27">IF(D27="主辦社",10000,IF(D27="協辦社",5000,IF(D27="贊助社",3000,0)))</f>
        <v/>
      </c>
      <c r="F27" s="99" t="n"/>
      <c r="G27" s="10" t="n"/>
      <c r="H27" s="100">
        <f>G27*1200</f>
        <v/>
      </c>
      <c r="I27" s="10" t="n"/>
      <c r="J27" s="100">
        <f t="array" ref="J27">I27*1000</f>
        <v/>
      </c>
      <c r="K27" s="100">
        <f t="array" ref="K27">J27+H27+E27</f>
        <v/>
      </c>
      <c r="L27" s="12" t="n"/>
      <c r="M27" s="101" t="n"/>
      <c r="N27" s="102">
        <f t="array" ref="N27">M27-K27</f>
        <v/>
      </c>
      <c r="O27" s="15" t="n"/>
    </row>
    <row r="28" ht="18.4" customHeight="1" s="98">
      <c r="A28" s="16" t="inlineStr">
        <is>
          <t>4</t>
        </is>
      </c>
      <c r="B28" s="17" t="inlineStr">
        <is>
          <t>04-7</t>
        </is>
      </c>
      <c r="C28" s="18" t="inlineStr">
        <is>
          <t>文化扶輪社</t>
        </is>
      </c>
      <c r="D28" s="19" t="n"/>
      <c r="E28" s="103">
        <f t="array" ref="E28">IF(D28="主辦社",10000,IF(D28="協辦社",5000,IF(D28="贊助社",3000,0)))</f>
        <v/>
      </c>
      <c r="F28" s="103" t="n"/>
      <c r="G28" s="21" t="n"/>
      <c r="H28" s="104">
        <f>G28*1200</f>
        <v/>
      </c>
      <c r="I28" s="21" t="n"/>
      <c r="J28" s="104">
        <f t="array" ref="J28">I28*1000</f>
        <v/>
      </c>
      <c r="K28" s="104">
        <f t="array" ref="K28">J28+H28+E28</f>
        <v/>
      </c>
      <c r="L28" s="23" t="n"/>
      <c r="M28" s="105" t="n"/>
      <c r="N28" s="106">
        <f t="array" ref="N28">M28-K28</f>
        <v/>
      </c>
      <c r="O28" s="26" t="n"/>
    </row>
    <row r="29" ht="18.4" customHeight="1" s="98">
      <c r="A29" s="27" t="inlineStr">
        <is>
          <t>5</t>
        </is>
      </c>
      <c r="B29" s="28" t="inlineStr">
        <is>
          <t>05-1</t>
        </is>
      </c>
      <c r="C29" s="29" t="inlineStr">
        <is>
          <t>台北府門扶輪社</t>
        </is>
      </c>
      <c r="D29" s="30" t="n"/>
      <c r="E29" s="107">
        <f t="array" ref="E29">IF(D29="主辦社",10000,IF(D29="協辦社",5000,IF(D29="贊助社",3000,0)))</f>
        <v/>
      </c>
      <c r="F29" s="107" t="n"/>
      <c r="G29" s="32" t="n"/>
      <c r="H29" s="108">
        <f>G29*1200</f>
        <v/>
      </c>
      <c r="I29" s="32" t="n"/>
      <c r="J29" s="108">
        <f t="array" ref="J29">I29*1000</f>
        <v/>
      </c>
      <c r="K29" s="108">
        <f t="array" ref="K29">J29+H29+E29</f>
        <v/>
      </c>
      <c r="L29" s="34" t="n"/>
      <c r="M29" s="109" t="n"/>
      <c r="N29" s="110">
        <f t="array" ref="N29">M29-K29</f>
        <v/>
      </c>
      <c r="O29" s="37" t="n"/>
    </row>
    <row r="30" ht="18.4" customHeight="1" s="98">
      <c r="A30" s="5" t="inlineStr">
        <is>
          <t>5</t>
        </is>
      </c>
      <c r="B30" s="6" t="inlineStr">
        <is>
          <t>05-2</t>
        </is>
      </c>
      <c r="C30" s="7" t="inlineStr">
        <is>
          <t>台北南陽扶輪社</t>
        </is>
      </c>
      <c r="D30" s="8" t="n"/>
      <c r="E30" s="99">
        <f t="array" ref="E30">IF(D30="主辦社",10000,IF(D30="協辦社",5000,IF(D30="贊助社",3000,0)))</f>
        <v/>
      </c>
      <c r="F30" s="99" t="n"/>
      <c r="G30" s="10" t="n"/>
      <c r="H30" s="100">
        <f>G30*1200</f>
        <v/>
      </c>
      <c r="I30" s="10" t="n"/>
      <c r="J30" s="100">
        <f t="array" ref="J30">I30*1000</f>
        <v/>
      </c>
      <c r="K30" s="100">
        <f t="array" ref="K30">J30+H30+E30</f>
        <v/>
      </c>
      <c r="L30" s="12" t="n"/>
      <c r="M30" s="101" t="n"/>
      <c r="N30" s="102">
        <f t="array" ref="N30">M30-K30</f>
        <v/>
      </c>
      <c r="O30" s="15" t="n"/>
    </row>
    <row r="31" ht="18.4" customHeight="1" s="98">
      <c r="A31" s="5" t="inlineStr">
        <is>
          <t>5</t>
        </is>
      </c>
      <c r="B31" s="6" t="inlineStr">
        <is>
          <t>05-3</t>
        </is>
      </c>
      <c r="C31" s="7" t="inlineStr">
        <is>
          <t>台北明星扶輪社</t>
        </is>
      </c>
      <c r="D31" s="8" t="n"/>
      <c r="E31" s="99">
        <f t="array" ref="E31">IF(D31="主辦社",10000,IF(D31="協辦社",5000,IF(D31="贊助社",3000,0)))</f>
        <v/>
      </c>
      <c r="F31" s="99" t="n"/>
      <c r="G31" s="10" t="n"/>
      <c r="H31" s="100">
        <f>G31*1200</f>
        <v/>
      </c>
      <c r="I31" s="10" t="n"/>
      <c r="J31" s="100">
        <f t="array" ref="J31">I31*1000</f>
        <v/>
      </c>
      <c r="K31" s="100">
        <f t="array" ref="K31">J31+H31+E31</f>
        <v/>
      </c>
      <c r="L31" s="12" t="n"/>
      <c r="M31" s="101" t="n"/>
      <c r="N31" s="102">
        <f t="array" ref="N31">M31-K31</f>
        <v/>
      </c>
      <c r="O31" s="15" t="n"/>
    </row>
    <row r="32" ht="18.4" customHeight="1" s="98">
      <c r="A32" s="16" t="inlineStr">
        <is>
          <t>5</t>
        </is>
      </c>
      <c r="B32" s="17" t="inlineStr">
        <is>
          <t>05-4</t>
        </is>
      </c>
      <c r="C32" s="18" t="inlineStr">
        <is>
          <t>台北風雲扶輪社</t>
        </is>
      </c>
      <c r="D32" s="19" t="n"/>
      <c r="E32" s="103">
        <f t="array" ref="E32">IF(D32="主辦社",10000,IF(D32="協辦社",5000,IF(D32="贊助社",3000,0)))</f>
        <v/>
      </c>
      <c r="F32" s="103" t="n"/>
      <c r="G32" s="21" t="n"/>
      <c r="H32" s="104">
        <f>G32*1200</f>
        <v/>
      </c>
      <c r="I32" s="21" t="n"/>
      <c r="J32" s="104">
        <f t="array" ref="J32">I32*1000</f>
        <v/>
      </c>
      <c r="K32" s="104">
        <f t="array" ref="K32">J32+H32+E32</f>
        <v/>
      </c>
      <c r="L32" s="23" t="n"/>
      <c r="M32" s="105" t="n"/>
      <c r="N32" s="106">
        <f t="array" ref="N32">M32-K32</f>
        <v/>
      </c>
      <c r="O32" s="26" t="n"/>
    </row>
    <row r="33" ht="18.4" customHeight="1" s="98">
      <c r="A33" s="27" t="inlineStr">
        <is>
          <t>6</t>
        </is>
      </c>
      <c r="B33" s="28" t="inlineStr">
        <is>
          <t>06-1</t>
        </is>
      </c>
      <c r="C33" s="29" t="inlineStr">
        <is>
          <t>台北市南門扶輪社</t>
        </is>
      </c>
      <c r="D33" s="30" t="n"/>
      <c r="E33" s="107">
        <f t="array" ref="E33">IF(D33="主辦社",10000,IF(D33="協辦社",5000,IF(D33="贊助社",3000,0)))</f>
        <v/>
      </c>
      <c r="F33" s="107" t="n"/>
      <c r="G33" s="32" t="n"/>
      <c r="H33" s="108">
        <f>G33*1200</f>
        <v/>
      </c>
      <c r="I33" s="32" t="n"/>
      <c r="J33" s="108">
        <f t="array" ref="J33">I33*1000</f>
        <v/>
      </c>
      <c r="K33" s="108">
        <f t="array" ref="K33">J33+H33+E33</f>
        <v/>
      </c>
      <c r="L33" s="34" t="n"/>
      <c r="M33" s="109" t="n"/>
      <c r="N33" s="110">
        <f t="array" ref="N33">M33-K33</f>
        <v/>
      </c>
      <c r="O33" s="37" t="n"/>
    </row>
    <row r="34" ht="18.4" customHeight="1" s="98">
      <c r="A34" s="5" t="inlineStr">
        <is>
          <t>6</t>
        </is>
      </c>
      <c r="B34" s="6" t="inlineStr">
        <is>
          <t>06-2</t>
        </is>
      </c>
      <c r="C34" s="7" t="inlineStr">
        <is>
          <t>台北大都會扶輪社</t>
        </is>
      </c>
      <c r="D34" s="8" t="n"/>
      <c r="E34" s="99">
        <f t="array" ref="E34">IF(D34="主辦社",10000,IF(D34="協辦社",5000,IF(D34="贊助社",3000,0)))</f>
        <v/>
      </c>
      <c r="F34" s="99" t="n"/>
      <c r="G34" s="10" t="n"/>
      <c r="H34" s="100">
        <f>G34*1200</f>
        <v/>
      </c>
      <c r="I34" s="10" t="n"/>
      <c r="J34" s="100">
        <f t="array" ref="J34">I34*1000</f>
        <v/>
      </c>
      <c r="K34" s="100">
        <f t="array" ref="K34">J34+H34+E34</f>
        <v/>
      </c>
      <c r="L34" s="12" t="n"/>
      <c r="M34" s="101" t="n"/>
      <c r="N34" s="102">
        <f t="array" ref="N34">M34-K34</f>
        <v/>
      </c>
      <c r="O34" s="15" t="n"/>
    </row>
    <row r="35" ht="18.4" customHeight="1" s="98">
      <c r="A35" s="5" t="inlineStr">
        <is>
          <t>6</t>
        </is>
      </c>
      <c r="B35" s="6" t="inlineStr">
        <is>
          <t>06-3</t>
        </is>
      </c>
      <c r="C35" s="7" t="inlineStr">
        <is>
          <t>台北市南方扶輪社</t>
        </is>
      </c>
      <c r="D35" s="8" t="n"/>
      <c r="E35" s="99">
        <f t="array" ref="E35">IF(D35="主辦社",10000,IF(D35="協辦社",5000,IF(D35="贊助社",3000,0)))</f>
        <v/>
      </c>
      <c r="F35" s="99" t="n"/>
      <c r="G35" s="10" t="n"/>
      <c r="H35" s="100">
        <f>G35*1200</f>
        <v/>
      </c>
      <c r="I35" s="10" t="n"/>
      <c r="J35" s="100">
        <f t="array" ref="J35">I35*1000</f>
        <v/>
      </c>
      <c r="K35" s="100">
        <f t="array" ref="K35">J35+H35+E35</f>
        <v/>
      </c>
      <c r="L35" s="12" t="n"/>
      <c r="M35" s="101" t="n"/>
      <c r="N35" s="102">
        <f t="array" ref="N35">M35-K35</f>
        <v/>
      </c>
      <c r="O35" s="15" t="n"/>
    </row>
    <row r="36" ht="18.4" customHeight="1" s="98">
      <c r="A36" s="5" t="inlineStr">
        <is>
          <t>6</t>
        </is>
      </c>
      <c r="B36" s="6" t="inlineStr">
        <is>
          <t>06-4</t>
        </is>
      </c>
      <c r="C36" s="7" t="inlineStr">
        <is>
          <t>台北市南光扶輪社</t>
        </is>
      </c>
      <c r="D36" s="8" t="n"/>
      <c r="E36" s="99">
        <f t="array" ref="E36">IF(D36="主辦社",10000,IF(D36="協辦社",5000,IF(D36="贊助社",3000,0)))</f>
        <v/>
      </c>
      <c r="F36" s="99" t="n"/>
      <c r="G36" s="10" t="n"/>
      <c r="H36" s="100">
        <f>G36*1200</f>
        <v/>
      </c>
      <c r="I36" s="10" t="n"/>
      <c r="J36" s="100">
        <f t="array" ref="J36">I36*1000</f>
        <v/>
      </c>
      <c r="K36" s="100">
        <f t="array" ref="K36">J36+H36+E36</f>
        <v/>
      </c>
      <c r="L36" s="38" t="n"/>
      <c r="M36" s="101" t="n"/>
      <c r="N36" s="102">
        <f t="array" ref="N36">M36-K36</f>
        <v/>
      </c>
      <c r="O36" s="42" t="n"/>
    </row>
    <row r="37" ht="18.4" customHeight="1" s="98">
      <c r="A37" s="5" t="inlineStr">
        <is>
          <t>6</t>
        </is>
      </c>
      <c r="B37" s="6" t="inlineStr">
        <is>
          <t>06-5</t>
        </is>
      </c>
      <c r="C37" s="7" t="inlineStr">
        <is>
          <t>台北南英扶輪社</t>
        </is>
      </c>
      <c r="D37" s="8" t="n"/>
      <c r="E37" s="99">
        <f t="array" ref="E37">IF(D37="主辦社",10000,IF(D37="協辦社",5000,IF(D37="贊助社",3000,0)))</f>
        <v/>
      </c>
      <c r="F37" s="99" t="n"/>
      <c r="G37" s="10" t="n"/>
      <c r="H37" s="100">
        <f>G37*1200</f>
        <v/>
      </c>
      <c r="I37" s="10" t="n"/>
      <c r="J37" s="100">
        <f t="array" ref="J37">I37*1000</f>
        <v/>
      </c>
      <c r="K37" s="100">
        <f t="array" ref="K37">J37+H37+E37</f>
        <v/>
      </c>
      <c r="L37" s="12" t="n"/>
      <c r="M37" s="101" t="n"/>
      <c r="N37" s="102">
        <f t="array" ref="N37">M37-K37</f>
        <v/>
      </c>
      <c r="O37" s="15" t="n"/>
    </row>
    <row r="38" ht="18.4" customHeight="1" s="98">
      <c r="A38" s="5" t="inlineStr">
        <is>
          <t>6</t>
        </is>
      </c>
      <c r="B38" s="6" t="inlineStr">
        <is>
          <t>06-6</t>
        </is>
      </c>
      <c r="C38" s="7" t="inlineStr">
        <is>
          <t>台北市南揚扶輪社</t>
        </is>
      </c>
      <c r="D38" s="8" t="n"/>
      <c r="E38" s="99">
        <f t="array" ref="E38">IF(D38="主辦社",10000,IF(D38="協辦社",5000,IF(D38="贊助社",3000,0)))</f>
        <v/>
      </c>
      <c r="F38" s="99" t="n"/>
      <c r="G38" s="10" t="n"/>
      <c r="H38" s="100">
        <f>G38*1200</f>
        <v/>
      </c>
      <c r="I38" s="10" t="n"/>
      <c r="J38" s="100">
        <f t="array" ref="J38">I38*1000</f>
        <v/>
      </c>
      <c r="K38" s="100">
        <f t="array" ref="K38">J38+H38+E38</f>
        <v/>
      </c>
      <c r="L38" s="12" t="n"/>
      <c r="M38" s="101" t="n"/>
      <c r="N38" s="102">
        <f t="array" ref="N38">M38-K38</f>
        <v/>
      </c>
      <c r="O38" s="15" t="n"/>
    </row>
    <row r="39" ht="18.4" customHeight="1" s="98">
      <c r="A39" s="5" t="inlineStr">
        <is>
          <t>6</t>
        </is>
      </c>
      <c r="B39" s="6" t="inlineStr">
        <is>
          <t>06-7</t>
        </is>
      </c>
      <c r="C39" s="7" t="inlineStr">
        <is>
          <t>台北市南波扶輪社</t>
        </is>
      </c>
      <c r="D39" s="8" t="n"/>
      <c r="E39" s="99">
        <f t="array" ref="E39">IF(D39="主辦社",10000,IF(D39="協辦社",5000,IF(D39="贊助社",3000,0)))</f>
        <v/>
      </c>
      <c r="F39" s="99" t="n"/>
      <c r="G39" s="10" t="n"/>
      <c r="H39" s="100">
        <f>G39*1200</f>
        <v/>
      </c>
      <c r="I39" s="10" t="n"/>
      <c r="J39" s="100">
        <f t="array" ref="J39">I39*1000</f>
        <v/>
      </c>
      <c r="K39" s="100">
        <f t="array" ref="K39">J39+H39+E39</f>
        <v/>
      </c>
      <c r="L39" s="12" t="n"/>
      <c r="M39" s="101" t="n"/>
      <c r="N39" s="102">
        <f t="array" ref="N39">M39-K39</f>
        <v/>
      </c>
      <c r="O39" s="15" t="n"/>
    </row>
    <row r="40" ht="18.4" customHeight="1" s="98">
      <c r="A40" s="5" t="inlineStr">
        <is>
          <t>6</t>
        </is>
      </c>
      <c r="B40" s="6" t="inlineStr">
        <is>
          <t>06-8</t>
        </is>
      </c>
      <c r="C40" s="7" t="inlineStr">
        <is>
          <t>臺北市南星扶輪社</t>
        </is>
      </c>
      <c r="D40" s="8" t="n"/>
      <c r="E40" s="99">
        <f t="array" ref="E40">IF(D40="主辦社",10000,IF(D40="協辦社",5000,IF(D40="贊助社",3000,0)))</f>
        <v/>
      </c>
      <c r="F40" s="99" t="n"/>
      <c r="G40" s="10" t="n"/>
      <c r="H40" s="100">
        <f>G40*1200</f>
        <v/>
      </c>
      <c r="I40" s="10" t="n"/>
      <c r="J40" s="100">
        <f t="array" ref="J40">I40*1000</f>
        <v/>
      </c>
      <c r="K40" s="100">
        <f t="array" ref="K40">J40+H40+E40</f>
        <v/>
      </c>
      <c r="L40" s="12" t="n"/>
      <c r="M40" s="101" t="n"/>
      <c r="N40" s="102">
        <f t="array" ref="N40">M40-K40</f>
        <v/>
      </c>
      <c r="O40" s="15" t="n"/>
    </row>
    <row r="41" ht="18.4" customHeight="1" s="98">
      <c r="A41" s="16" t="inlineStr">
        <is>
          <t>6</t>
        </is>
      </c>
      <c r="B41" s="17" t="inlineStr">
        <is>
          <t>06-9</t>
        </is>
      </c>
      <c r="C41" s="18" t="inlineStr">
        <is>
          <t>台北南法扶輪社</t>
        </is>
      </c>
      <c r="D41" s="19" t="n"/>
      <c r="E41" s="103">
        <f t="array" ref="E41">IF(D41="主辦社",10000,IF(D41="協辦社",5000,IF(D41="贊助社",3000,0)))</f>
        <v/>
      </c>
      <c r="F41" s="103" t="n"/>
      <c r="G41" s="21" t="n"/>
      <c r="H41" s="104">
        <f>G41*1200</f>
        <v/>
      </c>
      <c r="I41" s="21" t="n"/>
      <c r="J41" s="104">
        <f t="array" ref="J41">I41*1000</f>
        <v/>
      </c>
      <c r="K41" s="104">
        <f t="array" ref="K41">J41+H41+E41</f>
        <v/>
      </c>
      <c r="L41" s="23" t="n"/>
      <c r="M41" s="105" t="n"/>
      <c r="N41" s="106">
        <f t="array" ref="N41">M41-K41</f>
        <v/>
      </c>
      <c r="O41" s="26" t="n"/>
    </row>
    <row r="42" ht="18.4" customHeight="1" s="98">
      <c r="A42" s="27" t="inlineStr">
        <is>
          <t>7</t>
        </is>
      </c>
      <c r="B42" s="28" t="inlineStr">
        <is>
          <t>07-1</t>
        </is>
      </c>
      <c r="C42" s="43" t="inlineStr">
        <is>
          <t>台北市南海扶輪社</t>
        </is>
      </c>
      <c r="D42" s="30" t="n"/>
      <c r="E42" s="107">
        <f t="array" ref="E42">IF(D42="主辦社",10000,IF(D42="協辦社",5000,IF(D42="贊助社",3000,0)))</f>
        <v/>
      </c>
      <c r="F42" s="107" t="n"/>
      <c r="G42" s="32" t="n"/>
      <c r="H42" s="108">
        <f>G42*1200</f>
        <v/>
      </c>
      <c r="I42" s="32" t="n"/>
      <c r="J42" s="108">
        <f t="array" ref="J42">I42*1000</f>
        <v/>
      </c>
      <c r="K42" s="108">
        <f t="array" ref="K42">J42+H42+E42</f>
        <v/>
      </c>
      <c r="L42" s="34" t="n"/>
      <c r="M42" s="109" t="n"/>
      <c r="N42" s="110">
        <f t="array" ref="N42">M42-K42</f>
        <v/>
      </c>
      <c r="O42" s="37" t="n"/>
    </row>
    <row r="43" ht="18.4" customHeight="1" s="98">
      <c r="A43" s="5" t="inlineStr">
        <is>
          <t>7</t>
        </is>
      </c>
      <c r="B43" s="6" t="inlineStr">
        <is>
          <t>07-2</t>
        </is>
      </c>
      <c r="C43" s="7" t="inlineStr">
        <is>
          <t>台北市南雅扶輪社</t>
        </is>
      </c>
      <c r="D43" s="8" t="n"/>
      <c r="E43" s="99">
        <f t="array" ref="E43">IF(D43="主辦社",10000,IF(D43="協辦社",5000,IF(D43="贊助社",3000,0)))</f>
        <v/>
      </c>
      <c r="F43" s="99" t="n"/>
      <c r="G43" s="10" t="n"/>
      <c r="H43" s="100">
        <f>G43*1200</f>
        <v/>
      </c>
      <c r="I43" s="10" t="n"/>
      <c r="J43" s="100">
        <f t="array" ref="J43">I43*1000</f>
        <v/>
      </c>
      <c r="K43" s="100">
        <f t="array" ref="K43">J43+H43+E43</f>
        <v/>
      </c>
      <c r="L43" s="12" t="n"/>
      <c r="M43" s="101" t="n"/>
      <c r="N43" s="102">
        <f t="array" ref="N43">M43-K43</f>
        <v/>
      </c>
      <c r="O43" s="15" t="n"/>
    </row>
    <row r="44" ht="18.4" customHeight="1" s="98">
      <c r="A44" s="5" t="inlineStr">
        <is>
          <t>7</t>
        </is>
      </c>
      <c r="B44" s="6" t="inlineStr">
        <is>
          <t>07-3</t>
        </is>
      </c>
      <c r="C44" s="7" t="inlineStr">
        <is>
          <t>台北市新世代扶輪社</t>
        </is>
      </c>
      <c r="D44" s="8" t="n"/>
      <c r="E44" s="99">
        <f t="array" ref="E44">IF(D44="主辦社",10000,IF(D44="協辦社",5000,IF(D44="贊助社",3000,0)))</f>
        <v/>
      </c>
      <c r="F44" s="99" t="n"/>
      <c r="G44" s="10" t="n"/>
      <c r="H44" s="100">
        <f>G44*1200</f>
        <v/>
      </c>
      <c r="I44" s="10" t="n"/>
      <c r="J44" s="100">
        <f t="array" ref="J44">I44*1000</f>
        <v/>
      </c>
      <c r="K44" s="100">
        <f t="array" ref="K44">J44+H44+E44</f>
        <v/>
      </c>
      <c r="L44" s="12" t="n"/>
      <c r="M44" s="101" t="n"/>
      <c r="N44" s="102">
        <f t="array" ref="N44">M44-K44</f>
        <v/>
      </c>
      <c r="O44" s="15" t="n"/>
    </row>
    <row r="45" ht="18.4" customHeight="1" s="98">
      <c r="A45" s="5" t="inlineStr">
        <is>
          <t>7</t>
        </is>
      </c>
      <c r="B45" s="6" t="inlineStr">
        <is>
          <t>07-4</t>
        </is>
      </c>
      <c r="C45" s="7" t="inlineStr">
        <is>
          <t>台北市南鷹扶輪社</t>
        </is>
      </c>
      <c r="D45" s="8" t="n"/>
      <c r="E45" s="99">
        <f t="array" ref="E45">IF(D45="主辦社",10000,IF(D45="協辦社",5000,IF(D45="贊助社",3000,0)))</f>
        <v/>
      </c>
      <c r="F45" s="99" t="n"/>
      <c r="G45" s="10" t="n"/>
      <c r="H45" s="100">
        <f>G45*1200</f>
        <v/>
      </c>
      <c r="I45" s="10" t="n"/>
      <c r="J45" s="100">
        <f t="array" ref="J45">I45*1000</f>
        <v/>
      </c>
      <c r="K45" s="100">
        <f t="array" ref="K45">J45+H45+E45</f>
        <v/>
      </c>
      <c r="L45" s="12" t="n"/>
      <c r="M45" s="101" t="n"/>
      <c r="N45" s="102">
        <f t="array" ref="N45">M45-K45</f>
        <v/>
      </c>
      <c r="O45" s="15" t="n"/>
    </row>
    <row r="46" ht="18.4" customHeight="1" s="98">
      <c r="A46" s="16" t="inlineStr">
        <is>
          <t>7</t>
        </is>
      </c>
      <c r="B46" s="17" t="inlineStr">
        <is>
          <t>07-5</t>
        </is>
      </c>
      <c r="C46" s="18" t="inlineStr">
        <is>
          <t>台北大加蚋扶輪社</t>
        </is>
      </c>
      <c r="D46" s="19" t="n"/>
      <c r="E46" s="103">
        <f t="array" ref="E46">IF(D46="主辦社",10000,IF(D46="協辦社",5000,IF(D46="贊助社",3000,0)))</f>
        <v/>
      </c>
      <c r="F46" s="103" t="n"/>
      <c r="G46" s="21" t="n"/>
      <c r="H46" s="104">
        <f>G46*1200</f>
        <v/>
      </c>
      <c r="I46" s="21" t="n"/>
      <c r="J46" s="104">
        <f t="array" ref="J46">I46*1000</f>
        <v/>
      </c>
      <c r="K46" s="104">
        <f t="array" ref="K46">J46+H46+E46</f>
        <v/>
      </c>
      <c r="L46" s="23" t="n"/>
      <c r="M46" s="105" t="n"/>
      <c r="N46" s="106">
        <f t="array" ref="N46">M46-K46</f>
        <v/>
      </c>
      <c r="O46" s="26" t="n"/>
    </row>
    <row r="47" ht="18.4" customHeight="1" s="98">
      <c r="A47" s="27" t="inlineStr">
        <is>
          <t>8</t>
        </is>
      </c>
      <c r="B47" s="28" t="inlineStr">
        <is>
          <t>08-1</t>
        </is>
      </c>
      <c r="C47" s="29" t="inlineStr">
        <is>
          <t>台北市華麗扶輪社</t>
        </is>
      </c>
      <c r="D47" s="30" t="n"/>
      <c r="E47" s="107">
        <f t="array" ref="E47">IF(D47="主辦社",10000,IF(D47="協辦社",5000,IF(D47="贊助社",3000,0)))</f>
        <v/>
      </c>
      <c r="F47" s="107" t="n"/>
      <c r="G47" s="32" t="n"/>
      <c r="H47" s="108">
        <f>G47*1200</f>
        <v/>
      </c>
      <c r="I47" s="32" t="n"/>
      <c r="J47" s="108">
        <f t="array" ref="J47">I47*1000</f>
        <v/>
      </c>
      <c r="K47" s="108">
        <f t="array" ref="K47">J47+H47+E47</f>
        <v/>
      </c>
      <c r="L47" s="34" t="n"/>
      <c r="M47" s="109" t="n"/>
      <c r="N47" s="110">
        <f t="array" ref="N47">M47-K47</f>
        <v/>
      </c>
      <c r="O47" s="37" t="n"/>
    </row>
    <row r="48" ht="18.4" customHeight="1" s="98">
      <c r="A48" s="5" t="inlineStr">
        <is>
          <t>8</t>
        </is>
      </c>
      <c r="B48" s="6" t="inlineStr">
        <is>
          <t>08-2</t>
        </is>
      </c>
      <c r="C48" s="7" t="inlineStr">
        <is>
          <t>台北市華欣扶輪社</t>
        </is>
      </c>
      <c r="D48" s="8" t="n"/>
      <c r="E48" s="99">
        <f t="array" ref="E48">IF(D48="主辦社",10000,IF(D48="協辦社",5000,IF(D48="贊助社",3000,0)))</f>
        <v/>
      </c>
      <c r="F48" s="99" t="n"/>
      <c r="G48" s="10" t="n"/>
      <c r="H48" s="100">
        <f>G48*1200</f>
        <v/>
      </c>
      <c r="I48" s="10" t="n"/>
      <c r="J48" s="100">
        <f t="array" ref="J48">I48*1000</f>
        <v/>
      </c>
      <c r="K48" s="100">
        <f t="array" ref="K48">J48+H48+E48</f>
        <v/>
      </c>
      <c r="L48" s="12" t="n"/>
      <c r="M48" s="101" t="n"/>
      <c r="N48" s="102">
        <f t="array" ref="N48">M48-K48</f>
        <v/>
      </c>
      <c r="O48" s="15" t="n"/>
    </row>
    <row r="49" ht="18.4" customHeight="1" s="98">
      <c r="A49" s="5" t="inlineStr">
        <is>
          <t>8</t>
        </is>
      </c>
      <c r="B49" s="6" t="inlineStr">
        <is>
          <t>08-3</t>
        </is>
      </c>
      <c r="C49" s="7" t="inlineStr">
        <is>
          <t>台北市華樂扶輪社</t>
        </is>
      </c>
      <c r="D49" s="8" t="n"/>
      <c r="E49" s="99">
        <f t="array" ref="E49">IF(D49="主辦社",10000,IF(D49="協辦社",5000,IF(D49="贊助社",3000,0)))</f>
        <v/>
      </c>
      <c r="F49" s="99" t="n"/>
      <c r="G49" s="10" t="n"/>
      <c r="H49" s="100">
        <f>G49*1200</f>
        <v/>
      </c>
      <c r="I49" s="10" t="n"/>
      <c r="J49" s="100">
        <f t="array" ref="J49">I49*1000</f>
        <v/>
      </c>
      <c r="K49" s="100">
        <f t="array" ref="K49">J49+H49+E49</f>
        <v/>
      </c>
      <c r="L49" s="38" t="n"/>
      <c r="M49" s="101" t="n"/>
      <c r="N49" s="102">
        <f t="array" ref="N49">M49-K49</f>
        <v/>
      </c>
      <c r="O49" s="15" t="n"/>
    </row>
    <row r="50" ht="18.4" customHeight="1" s="98">
      <c r="A50" s="5" t="inlineStr">
        <is>
          <t>8</t>
        </is>
      </c>
      <c r="B50" s="6" t="inlineStr">
        <is>
          <t>08-4</t>
        </is>
      </c>
      <c r="C50" s="7" t="inlineStr">
        <is>
          <t>台北網路扶輪社</t>
        </is>
      </c>
      <c r="D50" s="8" t="n"/>
      <c r="E50" s="99">
        <f t="array" ref="E50">IF(D50="主辦社",10000,IF(D50="協辦社",5000,IF(D50="贊助社",3000,0)))</f>
        <v/>
      </c>
      <c r="F50" s="99" t="n"/>
      <c r="G50" s="10" t="n"/>
      <c r="H50" s="100">
        <f>G50*1200</f>
        <v/>
      </c>
      <c r="I50" s="10" t="n"/>
      <c r="J50" s="100">
        <f t="array" ref="J50">I50*1000</f>
        <v/>
      </c>
      <c r="K50" s="100">
        <f t="array" ref="K50">J50+H50+E50</f>
        <v/>
      </c>
      <c r="L50" s="12" t="n"/>
      <c r="M50" s="101" t="n"/>
      <c r="N50" s="102">
        <f t="array" ref="N50">M50-K50</f>
        <v/>
      </c>
      <c r="O50" s="15" t="n"/>
    </row>
    <row r="51" ht="18.4" customHeight="1" s="98">
      <c r="A51" s="5" t="inlineStr">
        <is>
          <t>8</t>
        </is>
      </c>
      <c r="B51" s="6" t="inlineStr">
        <is>
          <t>08-5</t>
        </is>
      </c>
      <c r="C51" s="7" t="inlineStr">
        <is>
          <t>臺北新北投扶輪社</t>
        </is>
      </c>
      <c r="D51" s="8" t="n"/>
      <c r="E51" s="99">
        <f t="array" ref="E51">IF(D51="主辦社",10000,IF(D51="協辦社",5000,IF(D51="贊助社",3000,0)))</f>
        <v/>
      </c>
      <c r="F51" s="99" t="n"/>
      <c r="G51" s="10" t="n"/>
      <c r="H51" s="100">
        <f>G51*1200</f>
        <v/>
      </c>
      <c r="I51" s="10" t="n"/>
      <c r="J51" s="100">
        <f t="array" ref="J51">I51*1000</f>
        <v/>
      </c>
      <c r="K51" s="100">
        <f t="array" ref="K51">J51+H51+E51</f>
        <v/>
      </c>
      <c r="L51" s="38" t="n"/>
      <c r="M51" s="101" t="n"/>
      <c r="N51" s="102">
        <f t="array" ref="N51">M51-K51</f>
        <v/>
      </c>
      <c r="O51" s="15" t="n"/>
    </row>
    <row r="52" ht="18.4" customHeight="1" s="98">
      <c r="A52" s="16" t="inlineStr">
        <is>
          <t>8</t>
        </is>
      </c>
      <c r="B52" s="17" t="inlineStr">
        <is>
          <t>08-6</t>
        </is>
      </c>
      <c r="C52" s="18" t="inlineStr">
        <is>
          <t>台北市華真扶輪社</t>
        </is>
      </c>
      <c r="D52" s="19" t="n"/>
      <c r="E52" s="103">
        <f t="array" ref="E52">IF(D52="主辦社",10000,IF(D52="協辦社",5000,IF(D52="贊助社",3000,0)))</f>
        <v/>
      </c>
      <c r="F52" s="103" t="n"/>
      <c r="G52" s="21" t="n"/>
      <c r="H52" s="104">
        <f>G52*1200</f>
        <v/>
      </c>
      <c r="I52" s="21" t="n"/>
      <c r="J52" s="104">
        <f t="array" ref="J52">I52*1000</f>
        <v/>
      </c>
      <c r="K52" s="104">
        <f t="array" ref="K52">J52+H52+E52</f>
        <v/>
      </c>
      <c r="L52" s="23" t="n"/>
      <c r="M52" s="105" t="n"/>
      <c r="N52" s="106">
        <f t="array" ref="N52">M52-K52</f>
        <v/>
      </c>
      <c r="O52" s="26" t="n"/>
    </row>
    <row r="53" ht="18.4" customHeight="1" s="98">
      <c r="A53" s="27" t="inlineStr">
        <is>
          <t>9</t>
        </is>
      </c>
      <c r="B53" s="28" t="inlineStr">
        <is>
          <t>09-1</t>
        </is>
      </c>
      <c r="C53" s="29" t="inlineStr">
        <is>
          <t>台北市華安扶輪社</t>
        </is>
      </c>
      <c r="D53" s="30" t="n"/>
      <c r="E53" s="107">
        <f t="array" ref="E53">IF(D53="主辦社",10000,IF(D53="協辦社",5000,IF(D53="贊助社",3000,0)))</f>
        <v/>
      </c>
      <c r="F53" s="107" t="n"/>
      <c r="G53" s="32" t="n"/>
      <c r="H53" s="108">
        <f>G53*1200</f>
        <v/>
      </c>
      <c r="I53" s="32" t="n"/>
      <c r="J53" s="108">
        <f t="array" ref="J53">I53*1000</f>
        <v/>
      </c>
      <c r="K53" s="108">
        <f t="array" ref="K53">J53+H53+E53</f>
        <v/>
      </c>
      <c r="L53" s="44" t="n"/>
      <c r="M53" s="109" t="n"/>
      <c r="N53" s="110">
        <f t="array" ref="N53">M53-K53</f>
        <v/>
      </c>
      <c r="O53" s="37" t="n"/>
    </row>
    <row r="54" ht="18.4" customHeight="1" s="98">
      <c r="A54" s="5" t="inlineStr">
        <is>
          <t>9</t>
        </is>
      </c>
      <c r="B54" s="6" t="inlineStr">
        <is>
          <t>09-2</t>
        </is>
      </c>
      <c r="C54" s="7" t="inlineStr">
        <is>
          <t>台北市華中扶輪社</t>
        </is>
      </c>
      <c r="D54" s="8" t="n"/>
      <c r="E54" s="99">
        <f t="array" ref="E54">IF(D54="主辦社",10000,IF(D54="協辦社",5000,IF(D54="贊助社",3000,0)))</f>
        <v/>
      </c>
      <c r="F54" s="99" t="n"/>
      <c r="G54" s="10" t="n"/>
      <c r="H54" s="100">
        <f>G54*1200</f>
        <v/>
      </c>
      <c r="I54" s="10" t="n"/>
      <c r="J54" s="100">
        <f t="array" ref="J54">I54*1000</f>
        <v/>
      </c>
      <c r="K54" s="100">
        <f t="array" ref="K54">J54+H54+E54</f>
        <v/>
      </c>
      <c r="L54" s="12" t="n"/>
      <c r="M54" s="101" t="n"/>
      <c r="N54" s="102">
        <f t="array" ref="N54">M54-K54</f>
        <v/>
      </c>
      <c r="O54" s="15" t="n"/>
    </row>
    <row r="55" ht="18.4" customHeight="1" s="98">
      <c r="A55" s="5" t="inlineStr">
        <is>
          <t>9</t>
        </is>
      </c>
      <c r="B55" s="6" t="inlineStr">
        <is>
          <t>09-3</t>
        </is>
      </c>
      <c r="C55" s="7" t="inlineStr">
        <is>
          <t>台北市益成扶輪社</t>
        </is>
      </c>
      <c r="D55" s="8" t="n"/>
      <c r="E55" s="99">
        <f t="array" ref="E55">IF(D55="主辦社",10000,IF(D55="協辦社",5000,IF(D55="贊助社",3000,0)))</f>
        <v/>
      </c>
      <c r="F55" s="99" t="n"/>
      <c r="G55" s="10" t="n"/>
      <c r="H55" s="100">
        <f>G55*1200</f>
        <v/>
      </c>
      <c r="I55" s="10" t="n"/>
      <c r="J55" s="100">
        <f t="array" ref="J55">I55*1000</f>
        <v/>
      </c>
      <c r="K55" s="100">
        <f t="array" ref="K55">J55+H55+E55</f>
        <v/>
      </c>
      <c r="L55" s="12" t="n"/>
      <c r="M55" s="101" t="n"/>
      <c r="N55" s="102">
        <f t="array" ref="N55">M55-K55</f>
        <v/>
      </c>
      <c r="O55" s="15" t="n"/>
    </row>
    <row r="56" ht="18.4" customHeight="1" s="98">
      <c r="A56" s="5" t="inlineStr">
        <is>
          <t>9</t>
        </is>
      </c>
      <c r="B56" s="6" t="inlineStr">
        <is>
          <t>09-4</t>
        </is>
      </c>
      <c r="C56" s="7" t="inlineStr">
        <is>
          <t>台北市南德扶輪社</t>
        </is>
      </c>
      <c r="D56" s="8" t="n"/>
      <c r="E56" s="99">
        <f t="array" ref="E56">IF(D56="主辦社",10000,IF(D56="協辦社",5000,IF(D56="贊助社",3000,0)))</f>
        <v/>
      </c>
      <c r="F56" s="99" t="n"/>
      <c r="G56" s="10" t="n"/>
      <c r="H56" s="100">
        <f>G56*1200</f>
        <v/>
      </c>
      <c r="I56" s="10" t="n"/>
      <c r="J56" s="100">
        <f t="array" ref="J56">I56*1000</f>
        <v/>
      </c>
      <c r="K56" s="100">
        <f t="array" ref="K56">J56+H56+E56</f>
        <v/>
      </c>
      <c r="L56" s="12" t="n"/>
      <c r="M56" s="101" t="n"/>
      <c r="N56" s="102">
        <f t="array" ref="N56">M56-K56</f>
        <v/>
      </c>
      <c r="O56" s="15" t="n"/>
    </row>
    <row r="57" ht="18.4" customHeight="1" s="98">
      <c r="A57" s="5" t="inlineStr">
        <is>
          <t>9</t>
        </is>
      </c>
      <c r="B57" s="6" t="inlineStr">
        <is>
          <t>09-5</t>
        </is>
      </c>
      <c r="C57" s="7" t="inlineStr">
        <is>
          <t>台北市華茂扶輪社</t>
        </is>
      </c>
      <c r="D57" s="8" t="n"/>
      <c r="E57" s="99">
        <f t="array" ref="E57">IF(D57="主辦社",10000,IF(D57="協辦社",5000,IF(D57="贊助社",3000,0)))</f>
        <v/>
      </c>
      <c r="F57" s="99" t="n"/>
      <c r="G57" s="10" t="n"/>
      <c r="H57" s="100">
        <f>G57*1200</f>
        <v/>
      </c>
      <c r="I57" s="10" t="n"/>
      <c r="J57" s="100">
        <f t="array" ref="J57">I57*1000</f>
        <v/>
      </c>
      <c r="K57" s="100">
        <f t="array" ref="K57">J57+H57+E57</f>
        <v/>
      </c>
      <c r="L57" s="12" t="n"/>
      <c r="M57" s="101" t="n"/>
      <c r="N57" s="102">
        <f t="array" ref="N57">M57-K57</f>
        <v/>
      </c>
      <c r="O57" s="15" t="n"/>
    </row>
    <row r="58" ht="18.4" customHeight="1" s="98">
      <c r="A58" s="5" t="inlineStr">
        <is>
          <t>9</t>
        </is>
      </c>
      <c r="B58" s="6" t="inlineStr">
        <is>
          <t>09-6</t>
        </is>
      </c>
      <c r="C58" s="7" t="inlineStr">
        <is>
          <t>台北南茂扶輪社</t>
        </is>
      </c>
      <c r="D58" s="8" t="n"/>
      <c r="E58" s="99">
        <f t="array" ref="E58">IF(D58="主辦社",10000,IF(D58="協辦社",5000,IF(D58="贊助社",3000,0)))</f>
        <v/>
      </c>
      <c r="F58" s="99" t="n"/>
      <c r="G58" s="10" t="n"/>
      <c r="H58" s="100">
        <f>G58*1200</f>
        <v/>
      </c>
      <c r="I58" s="10" t="n"/>
      <c r="J58" s="100">
        <f t="array" ref="J58">I58*1000</f>
        <v/>
      </c>
      <c r="K58" s="100">
        <f t="array" ref="K58">J58+H58+E58</f>
        <v/>
      </c>
      <c r="L58" s="12" t="n"/>
      <c r="M58" s="101" t="n"/>
      <c r="N58" s="102">
        <f t="array" ref="N58">M58-K58</f>
        <v/>
      </c>
      <c r="O58" s="15" t="n"/>
    </row>
    <row r="59" ht="18.4" customHeight="1" s="98">
      <c r="A59" s="16" t="inlineStr">
        <is>
          <t>9</t>
        </is>
      </c>
      <c r="B59" s="17" t="inlineStr">
        <is>
          <t>09-7</t>
        </is>
      </c>
      <c r="C59" s="18" t="inlineStr">
        <is>
          <t>台北市三友扶輪社</t>
        </is>
      </c>
      <c r="D59" s="19" t="n"/>
      <c r="E59" s="103">
        <f t="array" ref="E59">IF(D59="主辦社",10000,IF(D59="協辦社",5000,IF(D59="贊助社",3000,0)))</f>
        <v/>
      </c>
      <c r="F59" s="103" t="n"/>
      <c r="G59" s="21" t="n"/>
      <c r="H59" s="104">
        <f>G59*1200</f>
        <v/>
      </c>
      <c r="I59" s="21" t="n"/>
      <c r="J59" s="104">
        <f t="array" ref="J59">I59*1000</f>
        <v/>
      </c>
      <c r="K59" s="104">
        <f t="array" ref="K59">J59+H59+E59</f>
        <v/>
      </c>
      <c r="L59" s="23" t="n"/>
      <c r="M59" s="105" t="n"/>
      <c r="N59" s="106">
        <f t="array" ref="N59">M59-K59</f>
        <v/>
      </c>
      <c r="O59" s="26" t="n"/>
    </row>
    <row r="60" ht="18.4" customHeight="1" s="98">
      <c r="A60" s="27" t="inlineStr">
        <is>
          <t>10</t>
        </is>
      </c>
      <c r="B60" s="28" t="inlineStr">
        <is>
          <t>10-1</t>
        </is>
      </c>
      <c r="C60" s="29" t="inlineStr">
        <is>
          <t>台北市南港扶輪社</t>
        </is>
      </c>
      <c r="D60" s="30" t="n"/>
      <c r="E60" s="107">
        <f t="array" ref="E60">IF(D60="主辦社",10000,IF(D60="協辦社",5000,IF(D60="贊助社",3000,0)))</f>
        <v/>
      </c>
      <c r="F60" s="107" t="n"/>
      <c r="G60" s="32" t="n"/>
      <c r="H60" s="108">
        <f>G60*1200</f>
        <v/>
      </c>
      <c r="I60" s="32" t="n"/>
      <c r="J60" s="108">
        <f t="array" ref="J60">I60*1000</f>
        <v/>
      </c>
      <c r="K60" s="108">
        <f t="array" ref="K60">J60+H60+E60</f>
        <v/>
      </c>
      <c r="L60" s="34" t="n"/>
      <c r="M60" s="109" t="n"/>
      <c r="N60" s="110">
        <f t="array" ref="N60">M60-K60</f>
        <v/>
      </c>
      <c r="O60" s="37" t="n"/>
    </row>
    <row r="61" ht="18.4" customHeight="1" s="98">
      <c r="A61" s="5" t="inlineStr">
        <is>
          <t>10</t>
        </is>
      </c>
      <c r="B61" s="6" t="inlineStr">
        <is>
          <t>10-2</t>
        </is>
      </c>
      <c r="C61" s="7" t="inlineStr">
        <is>
          <t>台北市南北扶輪社</t>
        </is>
      </c>
      <c r="D61" s="8" t="n"/>
      <c r="E61" s="99">
        <f t="array" ref="E61">IF(D61="主辦社",10000,IF(D61="協辦社",5000,IF(D61="贊助社",3000,0)))</f>
        <v/>
      </c>
      <c r="F61" s="99" t="n"/>
      <c r="G61" s="10" t="n"/>
      <c r="H61" s="100">
        <f>G61*1200</f>
        <v/>
      </c>
      <c r="I61" s="10" t="n"/>
      <c r="J61" s="100">
        <f t="array" ref="J61">I61*1000</f>
        <v/>
      </c>
      <c r="K61" s="100">
        <f t="array" ref="K61">J61+H61+E61</f>
        <v/>
      </c>
      <c r="L61" s="12" t="n"/>
      <c r="M61" s="101" t="n"/>
      <c r="N61" s="102">
        <f t="array" ref="N61">M61-K61</f>
        <v/>
      </c>
      <c r="O61" s="41" t="n"/>
    </row>
    <row r="62" ht="18.4" customHeight="1" s="98">
      <c r="A62" s="5" t="inlineStr">
        <is>
          <t>10</t>
        </is>
      </c>
      <c r="B62" s="6" t="inlineStr">
        <is>
          <t>10-3</t>
        </is>
      </c>
      <c r="C62" s="7" t="inlineStr">
        <is>
          <t>台北市南西扶輪社</t>
        </is>
      </c>
      <c r="D62" s="8" t="n"/>
      <c r="E62" s="99">
        <f t="array" ref="E62">IF(D62="主辦社",10000,IF(D62="協辦社",5000,IF(D62="贊助社",3000,0)))</f>
        <v/>
      </c>
      <c r="F62" s="99" t="n"/>
      <c r="G62" s="10" t="n"/>
      <c r="H62" s="100">
        <f>G62*1200</f>
        <v/>
      </c>
      <c r="I62" s="10" t="n"/>
      <c r="J62" s="100">
        <f t="array" ref="J62">I62*1000</f>
        <v/>
      </c>
      <c r="K62" s="100">
        <f t="array" ref="K62">J62+H62+E62</f>
        <v/>
      </c>
      <c r="L62" s="12" t="n"/>
      <c r="M62" s="101" t="n"/>
      <c r="N62" s="102">
        <f t="array" ref="N62">M62-K62</f>
        <v/>
      </c>
      <c r="O62" s="15" t="n"/>
    </row>
    <row r="63" ht="18.4" customHeight="1" s="98">
      <c r="A63" s="16" t="inlineStr">
        <is>
          <t>10</t>
        </is>
      </c>
      <c r="B63" s="17" t="inlineStr">
        <is>
          <t>10-4</t>
        </is>
      </c>
      <c r="C63" s="18" t="inlineStr">
        <is>
          <t>台北市南東扶輪社</t>
        </is>
      </c>
      <c r="D63" s="19" t="n"/>
      <c r="E63" s="103">
        <f t="array" ref="E63">IF(D63="主辦社",10000,IF(D63="協辦社",5000,IF(D63="贊助社",3000,0)))</f>
        <v/>
      </c>
      <c r="F63" s="103" t="n"/>
      <c r="G63" s="21" t="n"/>
      <c r="H63" s="104">
        <f>G63*1200</f>
        <v/>
      </c>
      <c r="I63" s="21" t="n"/>
      <c r="J63" s="104">
        <f t="array" ref="J63">I63*1000</f>
        <v/>
      </c>
      <c r="K63" s="104">
        <f t="array" ref="K63">J63+H63+E63</f>
        <v/>
      </c>
      <c r="L63" s="23" t="n"/>
      <c r="M63" s="105" t="n"/>
      <c r="N63" s="106">
        <f t="array" ref="N63">M63-K63</f>
        <v/>
      </c>
      <c r="O63" s="26" t="n"/>
    </row>
    <row r="64" ht="18.4" customHeight="1" s="98">
      <c r="A64" s="27" t="inlineStr">
        <is>
          <t>11</t>
        </is>
      </c>
      <c r="B64" s="28" t="inlineStr">
        <is>
          <t>11-1</t>
        </is>
      </c>
      <c r="C64" s="29" t="inlineStr">
        <is>
          <t>台北市南華扶輪社</t>
        </is>
      </c>
      <c r="D64" s="30" t="n"/>
      <c r="E64" s="107">
        <f t="array" ref="E64">IF(D64="主辦社",10000,IF(D64="協辦社",5000,IF(D64="贊助社",3000,0)))</f>
        <v/>
      </c>
      <c r="F64" s="107" t="n"/>
      <c r="G64" s="32" t="n"/>
      <c r="H64" s="108">
        <f>G64*1200</f>
        <v/>
      </c>
      <c r="I64" s="32" t="n"/>
      <c r="J64" s="108">
        <f t="array" ref="J64">I64*1000</f>
        <v/>
      </c>
      <c r="K64" s="108">
        <f t="array" ref="K64">J64+H64+E64</f>
        <v/>
      </c>
      <c r="L64" s="34" t="n"/>
      <c r="M64" s="109" t="n"/>
      <c r="N64" s="110">
        <f t="array" ref="N64">M64-K64</f>
        <v/>
      </c>
      <c r="O64" s="37" t="n"/>
    </row>
    <row r="65" ht="18.4" customHeight="1" s="98">
      <c r="A65" s="5" t="inlineStr">
        <is>
          <t>11</t>
        </is>
      </c>
      <c r="B65" s="6" t="inlineStr">
        <is>
          <t>11-2</t>
        </is>
      </c>
      <c r="C65" s="7" t="inlineStr">
        <is>
          <t>台北市文華扶輪社</t>
        </is>
      </c>
      <c r="D65" s="8" t="n"/>
      <c r="E65" s="99">
        <f t="array" ref="E65">IF(D65="主辦社",10000,IF(D65="協辦社",5000,IF(D65="贊助社",3000,0)))</f>
        <v/>
      </c>
      <c r="F65" s="99" t="n"/>
      <c r="G65" s="10" t="n"/>
      <c r="H65" s="100">
        <f>G65*1200</f>
        <v/>
      </c>
      <c r="I65" s="10" t="n"/>
      <c r="J65" s="100">
        <f t="array" ref="J65">I65*1000</f>
        <v/>
      </c>
      <c r="K65" s="100">
        <f t="array" ref="K65">J65+H65+E65</f>
        <v/>
      </c>
      <c r="L65" s="12" t="n"/>
      <c r="M65" s="101" t="n"/>
      <c r="N65" s="102">
        <f t="array" ref="N65">M65-K65</f>
        <v/>
      </c>
      <c r="O65" s="15" t="n"/>
    </row>
    <row r="66" ht="18.4" customHeight="1" s="98">
      <c r="A66" s="5" t="inlineStr">
        <is>
          <t>11</t>
        </is>
      </c>
      <c r="B66" s="6" t="inlineStr">
        <is>
          <t>11-3</t>
        </is>
      </c>
      <c r="C66" s="7" t="inlineStr">
        <is>
          <t>台北永華扶輪社</t>
        </is>
      </c>
      <c r="D66" s="8" t="n"/>
      <c r="E66" s="99">
        <f t="array" ref="E66">IF(D66="主辦社",10000,IF(D66="協辦社",5000,IF(D66="贊助社",3000,0)))</f>
        <v/>
      </c>
      <c r="F66" s="99" t="n"/>
      <c r="G66" s="10" t="n"/>
      <c r="H66" s="100">
        <f>G66*1200</f>
        <v/>
      </c>
      <c r="I66" s="10" t="n"/>
      <c r="J66" s="100">
        <f t="array" ref="J66">I66*1000</f>
        <v/>
      </c>
      <c r="K66" s="100">
        <f t="array" ref="K66">J66+H66+E66</f>
        <v/>
      </c>
      <c r="L66" s="38" t="n"/>
      <c r="M66" s="101" t="n"/>
      <c r="N66" s="102">
        <f t="array" ref="N66">M66-K66</f>
        <v/>
      </c>
      <c r="O66" s="15" t="n"/>
    </row>
    <row r="67" ht="18.4" customHeight="1" s="98">
      <c r="A67" s="5" t="inlineStr">
        <is>
          <t>11</t>
        </is>
      </c>
      <c r="B67" s="6" t="inlineStr">
        <is>
          <t>11-4</t>
        </is>
      </c>
      <c r="C67" s="7" t="inlineStr">
        <is>
          <t>台北市西華扶輪社</t>
        </is>
      </c>
      <c r="D67" s="8" t="n"/>
      <c r="E67" s="99">
        <f t="array" ref="E67">IF(D67="主辦社",10000,IF(D67="協辦社",5000,IF(D67="贊助社",3000,0)))</f>
        <v/>
      </c>
      <c r="F67" s="99" t="n"/>
      <c r="G67" s="10" t="n"/>
      <c r="H67" s="100">
        <f>G67*1200</f>
        <v/>
      </c>
      <c r="I67" s="10" t="n"/>
      <c r="J67" s="100">
        <f t="array" ref="J67">I67*1000</f>
        <v/>
      </c>
      <c r="K67" s="100">
        <f t="array" ref="K67">J67+H67+E67</f>
        <v/>
      </c>
      <c r="L67" s="38" t="n"/>
      <c r="M67" s="101" t="n"/>
      <c r="N67" s="102">
        <f t="array" ref="N67">M67-K67</f>
        <v/>
      </c>
      <c r="O67" s="45" t="n"/>
    </row>
    <row r="68" ht="18.4" customHeight="1" s="98">
      <c r="A68" s="5" t="inlineStr">
        <is>
          <t>11</t>
        </is>
      </c>
      <c r="B68" s="6" t="inlineStr">
        <is>
          <t>11-5</t>
        </is>
      </c>
      <c r="C68" s="7" t="inlineStr">
        <is>
          <t>台北市碩華扶輪社</t>
        </is>
      </c>
      <c r="D68" s="8" t="n"/>
      <c r="E68" s="99">
        <f t="array" ref="E68">IF(D68="主辦社",10000,IF(D68="協辦社",5000,IF(D68="贊助社",3000,0)))</f>
        <v/>
      </c>
      <c r="F68" s="99" t="n"/>
      <c r="G68" s="10" t="n"/>
      <c r="H68" s="100">
        <f>G68*1200</f>
        <v/>
      </c>
      <c r="I68" s="10" t="n"/>
      <c r="J68" s="100">
        <f t="array" ref="J68">I68*1000</f>
        <v/>
      </c>
      <c r="K68" s="100">
        <f t="array" ref="K68">J68+H68+E68</f>
        <v/>
      </c>
      <c r="L68" s="38" t="n"/>
      <c r="M68" s="101" t="n"/>
      <c r="N68" s="102">
        <f t="array" ref="N68">M68-K68</f>
        <v/>
      </c>
      <c r="O68" s="45" t="n"/>
    </row>
    <row r="69" ht="18.4" customHeight="1" s="98">
      <c r="A69" s="16" t="inlineStr">
        <is>
          <t>11</t>
        </is>
      </c>
      <c r="B69" s="17" t="inlineStr">
        <is>
          <t>11-6</t>
        </is>
      </c>
      <c r="C69" s="18" t="inlineStr">
        <is>
          <t>台北富華扶輪社</t>
        </is>
      </c>
      <c r="D69" s="19" t="n"/>
      <c r="E69" s="103">
        <f t="array" ref="E69">IF(D69="主辦社",10000,IF(D69="協辦社",5000,IF(D69="贊助社",3000,0)))</f>
        <v/>
      </c>
      <c r="F69" s="103" t="n"/>
      <c r="G69" s="21" t="n"/>
      <c r="H69" s="104">
        <f>G69*1200</f>
        <v/>
      </c>
      <c r="I69" s="21" t="n"/>
      <c r="J69" s="104">
        <f t="array" ref="J69">I69*1000</f>
        <v/>
      </c>
      <c r="K69" s="104">
        <f t="array" ref="K69">J69+H69+E69</f>
        <v/>
      </c>
      <c r="L69" s="23" t="n"/>
      <c r="M69" s="105" t="n"/>
      <c r="N69" s="106">
        <f t="array" ref="N69">M69-K69</f>
        <v/>
      </c>
      <c r="O69" s="40" t="n"/>
    </row>
    <row r="70" ht="18.4" customHeight="1" s="98">
      <c r="A70" s="27" t="inlineStr">
        <is>
          <t>12</t>
        </is>
      </c>
      <c r="B70" s="28" t="inlineStr">
        <is>
          <t>12-1</t>
        </is>
      </c>
      <c r="C70" s="29" t="inlineStr">
        <is>
          <t>台北龍門扶輪社</t>
        </is>
      </c>
      <c r="D70" s="30" t="n"/>
      <c r="E70" s="107">
        <f t="array" ref="E70">IF(D70="主辦社",10000,IF(D70="協辦社",5000,IF(D70="贊助社",3000,0)))</f>
        <v/>
      </c>
      <c r="F70" s="107" t="n"/>
      <c r="G70" s="32" t="n"/>
      <c r="H70" s="108">
        <f>G70*1200</f>
        <v/>
      </c>
      <c r="I70" s="32" t="n"/>
      <c r="J70" s="108">
        <f t="array" ref="J70">I70*1000</f>
        <v/>
      </c>
      <c r="K70" s="108">
        <f t="array" ref="K70">J70+H70+E70</f>
        <v/>
      </c>
      <c r="L70" s="44" t="n"/>
      <c r="M70" s="109" t="n"/>
      <c r="N70" s="110">
        <f t="array" ref="N70">M70-K70</f>
        <v/>
      </c>
      <c r="O70" s="46" t="n"/>
    </row>
    <row r="71" ht="18.4" customHeight="1" s="98">
      <c r="A71" s="5" t="inlineStr">
        <is>
          <t>12</t>
        </is>
      </c>
      <c r="B71" s="6" t="inlineStr">
        <is>
          <t>12-2</t>
        </is>
      </c>
      <c r="C71" s="7" t="inlineStr">
        <is>
          <t>台北龍華扶輪社</t>
        </is>
      </c>
      <c r="D71" s="8" t="n"/>
      <c r="E71" s="99">
        <f t="array" ref="E71">IF(D71="主辦社",10000,IF(D71="協辦社",5000,IF(D71="贊助社",3000,0)))</f>
        <v/>
      </c>
      <c r="F71" s="99" t="n"/>
      <c r="G71" s="10" t="n"/>
      <c r="H71" s="100">
        <f>G71*1200</f>
        <v/>
      </c>
      <c r="I71" s="10" t="n"/>
      <c r="J71" s="100">
        <f t="array" ref="J71">I71*1000</f>
        <v/>
      </c>
      <c r="K71" s="100">
        <f t="array" ref="K71">J71+H71+E71</f>
        <v/>
      </c>
      <c r="L71" s="38" t="n"/>
      <c r="M71" s="101" t="n"/>
      <c r="N71" s="102">
        <f t="array" ref="N71">M71-K71</f>
        <v/>
      </c>
      <c r="O71" s="45" t="n"/>
    </row>
    <row r="72" ht="18.4" customHeight="1" s="98">
      <c r="A72" s="5" t="inlineStr">
        <is>
          <t>12</t>
        </is>
      </c>
      <c r="B72" s="6" t="inlineStr">
        <is>
          <t>12-3</t>
        </is>
      </c>
      <c r="C72" s="7" t="inlineStr">
        <is>
          <t>台北龍鳳扶輪社</t>
        </is>
      </c>
      <c r="D72" s="8" t="n"/>
      <c r="E72" s="99">
        <f t="array" ref="E72">IF(D72="主辦社",10000,IF(D72="協辦社",5000,IF(D72="贊助社",3000,0)))</f>
        <v/>
      </c>
      <c r="F72" s="99" t="n"/>
      <c r="G72" s="10" t="n"/>
      <c r="H72" s="100">
        <f>G72*1200</f>
        <v/>
      </c>
      <c r="I72" s="10" t="n"/>
      <c r="J72" s="100">
        <f t="array" ref="J72">I72*1000</f>
        <v/>
      </c>
      <c r="K72" s="100">
        <f t="array" ref="K72">J72+H72+E72</f>
        <v/>
      </c>
      <c r="L72" s="12" t="n"/>
      <c r="M72" s="101" t="n"/>
      <c r="N72" s="102">
        <f t="array" ref="N72">M72-K72</f>
        <v/>
      </c>
      <c r="O72" s="15" t="n"/>
    </row>
    <row r="73" ht="18.4" customHeight="1" s="98">
      <c r="A73" s="5" t="inlineStr">
        <is>
          <t>12</t>
        </is>
      </c>
      <c r="B73" s="6" t="inlineStr">
        <is>
          <t>12-4</t>
        </is>
      </c>
      <c r="C73" s="7" t="inlineStr">
        <is>
          <t>台北龍族扶輪社</t>
        </is>
      </c>
      <c r="D73" s="8" t="n"/>
      <c r="E73" s="99">
        <f t="array" ref="E73">IF(D73="主辦社",10000,IF(D73="協辦社",5000,IF(D73="贊助社",3000,0)))</f>
        <v/>
      </c>
      <c r="F73" s="99" t="n"/>
      <c r="G73" s="10" t="n"/>
      <c r="H73" s="100">
        <f>G73*1200</f>
        <v/>
      </c>
      <c r="I73" s="10" t="n"/>
      <c r="J73" s="100">
        <f t="array" ref="J73">I73*1000</f>
        <v/>
      </c>
      <c r="K73" s="100">
        <f t="array" ref="K73">J73+H73+E73</f>
        <v/>
      </c>
      <c r="L73" s="12" t="n"/>
      <c r="M73" s="101" t="n"/>
      <c r="N73" s="102">
        <f t="array" ref="N73">M73-K73</f>
        <v/>
      </c>
      <c r="O73" s="15" t="n"/>
    </row>
    <row r="74" ht="18.4" customHeight="1" s="98">
      <c r="A74" s="5" t="inlineStr">
        <is>
          <t>12</t>
        </is>
      </c>
      <c r="B74" s="6" t="inlineStr">
        <is>
          <t>12-5</t>
        </is>
      </c>
      <c r="C74" s="7" t="inlineStr">
        <is>
          <t>台北龍欣扶輪社</t>
        </is>
      </c>
      <c r="D74" s="8" t="n"/>
      <c r="E74" s="99">
        <f t="array" ref="E74">IF(D74="主辦社",10000,IF(D74="協辦社",5000,IF(D74="贊助社",3000,0)))</f>
        <v/>
      </c>
      <c r="F74" s="99" t="n"/>
      <c r="G74" s="10" t="n"/>
      <c r="H74" s="100">
        <f>G74*1200</f>
        <v/>
      </c>
      <c r="I74" s="10" t="n"/>
      <c r="J74" s="100">
        <f t="array" ref="J74">I74*1000</f>
        <v/>
      </c>
      <c r="K74" s="100">
        <f t="array" ref="K74">J74+H74+E74</f>
        <v/>
      </c>
      <c r="L74" s="12" t="n"/>
      <c r="M74" s="101" t="n"/>
      <c r="N74" s="102">
        <f t="array" ref="N74">M74-K74</f>
        <v/>
      </c>
      <c r="O74" s="15" t="n"/>
    </row>
    <row r="75" ht="18.4" customHeight="1" s="98">
      <c r="A75" s="5" t="inlineStr">
        <is>
          <t>12</t>
        </is>
      </c>
      <c r="B75" s="6" t="inlineStr">
        <is>
          <t>12-6</t>
        </is>
      </c>
      <c r="C75" s="7" t="inlineStr">
        <is>
          <t>台北龍來扶輪社</t>
        </is>
      </c>
      <c r="D75" s="8" t="n"/>
      <c r="E75" s="99">
        <f t="array" ref="E75">IF(D75="主辦社",10000,IF(D75="協辦社",5000,IF(D75="贊助社",3000,0)))</f>
        <v/>
      </c>
      <c r="F75" s="99" t="n"/>
      <c r="G75" s="10" t="n"/>
      <c r="H75" s="100">
        <f>G75*1200</f>
        <v/>
      </c>
      <c r="I75" s="10" t="n"/>
      <c r="J75" s="100">
        <f t="array" ref="J75">I75*1000</f>
        <v/>
      </c>
      <c r="K75" s="100">
        <f t="array" ref="K75">J75+H75+E75</f>
        <v/>
      </c>
      <c r="L75" s="12" t="n"/>
      <c r="M75" s="101" t="n"/>
      <c r="N75" s="102">
        <f t="array" ref="N75">M75-K75</f>
        <v/>
      </c>
      <c r="O75" s="15" t="n"/>
    </row>
    <row r="76" ht="18.4" customHeight="1" s="98">
      <c r="A76" s="5" t="inlineStr">
        <is>
          <t>12</t>
        </is>
      </c>
      <c r="B76" s="6" t="inlineStr">
        <is>
          <t>12-7</t>
        </is>
      </c>
      <c r="C76" s="7" t="inlineStr">
        <is>
          <t>台北龍穎扶輪社</t>
        </is>
      </c>
      <c r="D76" s="8" t="n"/>
      <c r="E76" s="99">
        <f t="array" ref="E76">IF(D76="主辦社",10000,IF(D76="協辦社",5000,IF(D76="贊助社",3000,0)))</f>
        <v/>
      </c>
      <c r="F76" s="99" t="n"/>
      <c r="G76" s="10" t="n"/>
      <c r="H76" s="100">
        <f>G76*1200</f>
        <v/>
      </c>
      <c r="I76" s="10" t="n"/>
      <c r="J76" s="100">
        <f t="array" ref="J76">I76*1000</f>
        <v/>
      </c>
      <c r="K76" s="100">
        <f t="array" ref="K76">J76+H76+E76</f>
        <v/>
      </c>
      <c r="L76" s="12" t="n"/>
      <c r="M76" s="101" t="n"/>
      <c r="N76" s="102">
        <f t="array" ref="N76">M76-K76</f>
        <v/>
      </c>
      <c r="O76" s="15" t="n"/>
    </row>
    <row r="77" ht="18.4" customHeight="1" s="98">
      <c r="A77" s="16" t="inlineStr">
        <is>
          <t>12</t>
        </is>
      </c>
      <c r="B77" s="17" t="inlineStr">
        <is>
          <t>12-8</t>
        </is>
      </c>
      <c r="C77" s="18" t="inlineStr">
        <is>
          <t>台北龍舟扶輪社</t>
        </is>
      </c>
      <c r="D77" s="19" t="n"/>
      <c r="E77" s="103">
        <f t="array" ref="E77">IF(D77="主辦社",10000,IF(D77="協辦社",5000,IF(D77="贊助社",3000,0)))</f>
        <v/>
      </c>
      <c r="F77" s="103" t="n"/>
      <c r="G77" s="21" t="n"/>
      <c r="H77" s="104">
        <f>G77*1200</f>
        <v/>
      </c>
      <c r="I77" s="21" t="n"/>
      <c r="J77" s="104">
        <f t="array" ref="J77">I77*1000</f>
        <v/>
      </c>
      <c r="K77" s="104">
        <f t="array" ref="K77">J77+H77+E77</f>
        <v/>
      </c>
      <c r="L77" s="39" t="n"/>
      <c r="M77" s="105" t="n"/>
      <c r="N77" s="106">
        <f t="array" ref="N77">M77-K77</f>
        <v/>
      </c>
      <c r="O77" s="26" t="n"/>
    </row>
    <row r="78" ht="18.4" customHeight="1" s="98">
      <c r="A78" s="27" t="inlineStr">
        <is>
          <t>13</t>
        </is>
      </c>
      <c r="B78" s="28" t="inlineStr">
        <is>
          <t>13-1</t>
        </is>
      </c>
      <c r="C78" s="29" t="inlineStr">
        <is>
          <t>台北市南天扶輪社</t>
        </is>
      </c>
      <c r="D78" s="30" t="n"/>
      <c r="E78" s="107">
        <f t="array" ref="E78">IF(D78="主辦社",10000,IF(D78="協辦社",5000,IF(D78="贊助社",3000,0)))</f>
        <v/>
      </c>
      <c r="F78" s="107" t="n"/>
      <c r="G78" s="32" t="n"/>
      <c r="H78" s="108">
        <f>G78*1200</f>
        <v/>
      </c>
      <c r="I78" s="32" t="n"/>
      <c r="J78" s="108">
        <f t="array" ref="J78">I78*1000</f>
        <v/>
      </c>
      <c r="K78" s="108">
        <f t="array" ref="K78">J78+H78+E78</f>
        <v/>
      </c>
      <c r="L78" s="34" t="n"/>
      <c r="M78" s="109" t="n"/>
      <c r="N78" s="110">
        <f t="array" ref="N78">M78-K78</f>
        <v/>
      </c>
      <c r="O78" s="37" t="n"/>
    </row>
    <row r="79" ht="18.4" customHeight="1" s="98">
      <c r="A79" s="5" t="inlineStr">
        <is>
          <t>13</t>
        </is>
      </c>
      <c r="B79" s="6" t="inlineStr">
        <is>
          <t>13-2</t>
        </is>
      </c>
      <c r="C79" s="7" t="inlineStr">
        <is>
          <t>台北市天一扶輪社</t>
        </is>
      </c>
      <c r="D79" s="8" t="n"/>
      <c r="E79" s="99">
        <f t="array" ref="E79">IF(D79="主辦社",10000,IF(D79="協辦社",5000,IF(D79="贊助社",3000,0)))</f>
        <v/>
      </c>
      <c r="F79" s="99" t="n"/>
      <c r="G79" s="10" t="n"/>
      <c r="H79" s="100">
        <f>G79*1200</f>
        <v/>
      </c>
      <c r="I79" s="10" t="n"/>
      <c r="J79" s="100">
        <f t="array" ref="J79">I79*1000</f>
        <v/>
      </c>
      <c r="K79" s="100">
        <f t="array" ref="K79">J79+H79+E79</f>
        <v/>
      </c>
      <c r="L79" s="12" t="n"/>
      <c r="M79" s="101" t="n"/>
      <c r="N79" s="102">
        <f t="array" ref="N79">M79-K79</f>
        <v/>
      </c>
      <c r="O79" s="15" t="n"/>
    </row>
    <row r="80" ht="18.4" customHeight="1" s="98">
      <c r="A80" s="5" t="inlineStr">
        <is>
          <t>13</t>
        </is>
      </c>
      <c r="B80" s="6" t="inlineStr">
        <is>
          <t>13-3</t>
        </is>
      </c>
      <c r="C80" s="7" t="inlineStr">
        <is>
          <t>台北樂雅扶輪社</t>
        </is>
      </c>
      <c r="D80" s="8" t="n"/>
      <c r="E80" s="99">
        <f t="array" ref="E80">IF(D80="主辦社",10000,IF(D80="協辦社",5000,IF(D80="贊助社",3000,0)))</f>
        <v/>
      </c>
      <c r="F80" s="99" t="n"/>
      <c r="G80" s="10" t="n"/>
      <c r="H80" s="100">
        <f>G80*1200</f>
        <v/>
      </c>
      <c r="I80" s="10" t="n"/>
      <c r="J80" s="100">
        <f t="array" ref="J80">I80*1000</f>
        <v/>
      </c>
      <c r="K80" s="100">
        <f t="array" ref="K80">J80+H80+E80</f>
        <v/>
      </c>
      <c r="L80" s="12" t="n"/>
      <c r="M80" s="101" t="n"/>
      <c r="N80" s="102">
        <f t="array" ref="N80">M80-K80</f>
        <v/>
      </c>
      <c r="O80" s="15" t="n"/>
    </row>
    <row r="81" ht="18" customHeight="1" s="98">
      <c r="A81" s="47" t="inlineStr">
        <is>
          <t>13</t>
        </is>
      </c>
      <c r="B81" s="48" t="inlineStr">
        <is>
          <t>13-4</t>
        </is>
      </c>
      <c r="C81" s="49" t="inlineStr">
        <is>
          <t>台北風澤扶輪社</t>
        </is>
      </c>
      <c r="D81" s="50" t="n"/>
      <c r="E81" s="111">
        <f t="array" ref="E81">IF(D81="主辦社",10000,IF(D81="協辦社",5000,IF(D81="贊助社",3000,0)))</f>
        <v/>
      </c>
      <c r="F81" s="111" t="n"/>
      <c r="G81" s="52" t="n"/>
      <c r="H81" s="112">
        <f>G81*1200</f>
        <v/>
      </c>
      <c r="I81" s="52" t="n"/>
      <c r="J81" s="112">
        <f t="array" ref="J81">I81*1000</f>
        <v/>
      </c>
      <c r="K81" s="112">
        <f t="array" ref="K81">J81+H81+E81</f>
        <v/>
      </c>
      <c r="L81" s="54" t="n"/>
      <c r="M81" s="113" t="n"/>
      <c r="N81" s="114">
        <f t="array" ref="N81">M81-K81</f>
        <v/>
      </c>
      <c r="O81" s="57" t="n"/>
    </row>
    <row r="82" ht="18" customHeight="1" s="98">
      <c r="A82" s="58" t="n"/>
      <c r="B82" s="115" t="n"/>
      <c r="C82" s="60" t="inlineStr">
        <is>
          <t>參與社</t>
        </is>
      </c>
      <c r="D82" s="61">
        <f t="array" ref="D82">D83+D84</f>
        <v/>
      </c>
      <c r="E82" s="116">
        <f t="array" ref="E82">D82/COUNTA(E2:E81)</f>
        <v/>
      </c>
      <c r="F82" s="116" t="n"/>
      <c r="G82" s="63">
        <f t="array" ref="G82">SUM(G2:G81)</f>
        <v/>
      </c>
      <c r="H82" s="117">
        <f t="array" ref="H82">SUM(H2:H81)</f>
        <v/>
      </c>
      <c r="I82" s="63">
        <f t="array" ref="I82">SUM(I2:I81)</f>
        <v/>
      </c>
      <c r="J82" s="117">
        <f t="array" ref="J82">SUM(J2:J81)</f>
        <v/>
      </c>
      <c r="K82" s="117">
        <f t="array" ref="K82">SUM(K2:K81)</f>
        <v/>
      </c>
      <c r="L82" s="65" t="n"/>
      <c r="M82" s="118">
        <f t="array" ref="M82">SUM(M2:M81)</f>
        <v/>
      </c>
      <c r="N82" s="119">
        <f t="array" ref="N82">SUM(N2:N81)</f>
        <v/>
      </c>
      <c r="O82" s="68" t="n"/>
    </row>
    <row r="83" ht="19.5" customHeight="1" s="98">
      <c r="A83" s="69" t="n"/>
      <c r="B83" s="120" t="n"/>
      <c r="C83" s="71" t="inlineStr">
        <is>
          <t>主辦社</t>
        </is>
      </c>
      <c r="D83" s="72">
        <f t="array" ref="D83">COUNTIF(D2:D81,"主辦社")</f>
        <v/>
      </c>
      <c r="E83" s="121">
        <f t="array" ref="E83">D83/COUNTA(E2:E81)</f>
        <v/>
      </c>
      <c r="F83" s="121" t="n"/>
      <c r="G83" s="74" t="n"/>
      <c r="H83" s="122" t="n"/>
      <c r="I83" s="123" t="n"/>
      <c r="J83" s="122" t="n"/>
      <c r="K83" s="122" t="n"/>
      <c r="L83" s="77" t="n"/>
      <c r="M83" s="124" t="n"/>
      <c r="N83" s="125" t="n"/>
      <c r="O83" s="80" t="n"/>
    </row>
    <row r="84" ht="18" customHeight="1" s="98">
      <c r="A84" s="81" t="n"/>
      <c r="B84" s="126" t="n"/>
      <c r="C84" s="83" t="inlineStr">
        <is>
          <t>協辦社</t>
        </is>
      </c>
      <c r="D84" s="84">
        <f t="array" ref="D84">COUNTIF(D2:D81,"協辦社")</f>
        <v/>
      </c>
      <c r="E84" s="127">
        <f t="array" ref="E84">D84/COUNTA(E2:E81)</f>
        <v/>
      </c>
      <c r="F84" s="127" t="n"/>
      <c r="G84" s="86" t="n"/>
      <c r="H84" s="128" t="n"/>
      <c r="I84" s="129" t="n"/>
      <c r="J84" s="128" t="n"/>
      <c r="K84" s="128" t="n"/>
      <c r="L84" s="89" t="n"/>
      <c r="M84" s="130" t="n"/>
      <c r="N84" s="131" t="n"/>
      <c r="O84" s="92" t="n"/>
    </row>
    <row r="85" ht="19.5" customHeight="1" s="98">
      <c r="A85" s="93" t="n"/>
      <c r="B85" s="93" t="n"/>
      <c r="C85" s="93" t="n"/>
      <c r="D85" s="93" t="n"/>
      <c r="E85" s="93" t="n"/>
      <c r="F85" s="93" t="n"/>
      <c r="G85" s="94" t="n"/>
      <c r="H85" s="132" t="n"/>
      <c r="I85" s="132" t="n"/>
      <c r="J85" s="132" t="n"/>
      <c r="K85" s="132" t="n"/>
      <c r="L85" s="93" t="n"/>
      <c r="M85" s="93" t="n"/>
      <c r="N85" s="93" t="n"/>
      <c r="O85" s="93" t="n"/>
    </row>
    <row r="86" ht="18.4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133" t="n"/>
      <c r="J86" s="96" t="n"/>
      <c r="K86" s="96" t="n"/>
      <c r="L86" s="96" t="n"/>
      <c r="M86" s="96" t="n"/>
      <c r="N86" s="96" t="n"/>
      <c r="O86" s="96" t="n"/>
    </row>
  </sheetData>
  <conditionalFormatting sqref="E2:F81 M1:N84">
    <cfRule type="cellIs" priority="1" operator="lessThan" dxfId="0" stopIfTrue="1">
      <formula>0</formula>
    </cfRule>
  </conditionalFormatting>
  <pageMargins left="0.314961" right="0.314961" top="0.393701" bottom="0.393701" header="0" footer="0"/>
  <pageSetup orientation="landscape" scale="100" fitToHeight="1" fitToWidth="1" firstPageNumber="1" useFirstPageNumber="0" pageOrder="downThenOver"/>
  <headerFooter>
    <oddHeader>&amp;C&amp;"新細明體,Regular"&amp;16 &amp;K000000 2025-26年度地區體育委員會保齡球聯誼賽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2026-09-16T22:04:11Z</dcterms:created>
  <dcterms:modified xmlns:dcterms="http://purl.org/dc/terms/" xmlns:xsi="http://www.w3.org/2001/XMLSchema-instance" xsi:type="dcterms:W3CDTF">2026-09-16T22:55:44Z</dcterms:modified>
</cp:coreProperties>
</file>